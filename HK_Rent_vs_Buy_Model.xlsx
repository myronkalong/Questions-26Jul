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Assumptions" sheetId="3" state="visible" r:id="rId3"/>
    <sheet name="TimingMatrix" sheetId="4" state="visible" r:id="rId4"/>
    <sheet name="YearByYear" sheetId="5" state="visible" r:id="rId5"/>
    <sheet name="StampDuty" sheetId="6" state="visible" r:id="rId6"/>
    <sheet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HK$&quot;#,##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F3D4C"/>
      <sz val="18"/>
    </font>
    <font>
      <name val="Calibri"/>
      <color rgb="001F2937"/>
      <sz val="11"/>
    </font>
    <font>
      <name val="Calibri"/>
      <b val="1"/>
      <color rgb="000F3D4C"/>
      <sz val="13"/>
    </font>
    <font>
      <name val="Calibri"/>
      <color rgb="00667085"/>
      <sz val="10"/>
    </font>
    <font>
      <name val="Calibri"/>
      <b val="1"/>
      <color rgb="00FFFFFF"/>
      <sz val="11"/>
    </font>
    <font>
      <name val="Calibri"/>
      <b val="1"/>
      <color rgb="000B5FFF"/>
      <sz val="11"/>
    </font>
    <font>
      <name val="Calibri"/>
      <b val="1"/>
      <color rgb="000F3D4C"/>
      <sz val="14"/>
    </font>
  </fonts>
  <fills count="8">
    <fill>
      <patternFill/>
    </fill>
    <fill>
      <patternFill patternType="gray125"/>
    </fill>
    <fill>
      <patternFill patternType="solid">
        <fgColor rgb="00E8F1F5"/>
      </patternFill>
    </fill>
    <fill>
      <patternFill patternType="solid">
        <fgColor rgb="000F3D4C"/>
      </patternFill>
    </fill>
    <fill>
      <patternFill patternType="solid">
        <fgColor rgb="00DDF2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3" borderId="0" pivotButton="0" quotePrefix="0" xfId="0"/>
    <xf numFmtId="164" fontId="7" fillId="0" borderId="0" pivotButton="0" quotePrefix="0" xfId="0"/>
    <xf numFmtId="164" fontId="0" fillId="0" borderId="0" pivotButton="0" quotePrefix="0" xfId="0"/>
    <xf numFmtId="0" fontId="7" fillId="5" borderId="0" pivotButton="0" quotePrefix="0" xfId="0"/>
    <xf numFmtId="164" fontId="7" fillId="6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6" fillId="4" borderId="1" pivotButton="0" quotePrefix="0" xfId="0"/>
    <xf numFmtId="10" fontId="6" fillId="4" borderId="1" pivotButton="0" quotePrefix="0" xfId="0"/>
    <xf numFmtId="1" fontId="6" fillId="4" borderId="1" pivotButton="0" quotePrefix="0" xfId="0"/>
    <xf numFmtId="165" fontId="0" fillId="0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2" borderId="0" pivotButton="0" quotePrefix="0" xfId="0"/>
    <xf numFmtId="164" fontId="0" fillId="5" borderId="0" pivotButton="0" quotePrefix="0" xfId="0"/>
    <xf numFmtId="164" fontId="6" fillId="5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worth: Rent forever vs Selected buy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'Dashboard'!$H$5:$H$25</f>
            </numRef>
          </cat>
          <val>
            <numRef>
              <f>'Dashboard'!$I$5:$I$25</f>
            </numRef>
          </val>
        </ser>
        <ser>
          <idx val="1"/>
          <order val="1"/>
          <tx>
            <strRef>
              <f>'Dashboard'!J4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'Dashboard'!$H$5:$H$25</f>
            </numRef>
          </cat>
          <val>
            <numRef>
              <f>'Dashboard'!$J$5:$J$25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HKD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'YearByYear'!F4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'YearByYear'!$A$5:$A$45</f>
            </numRef>
          </cat>
          <val>
            <numRef>
              <f>'YearByYear'!$F$5:$F$45</f>
            </numRef>
          </val>
        </ser>
        <ser>
          <idx val="1"/>
          <order val="1"/>
          <tx>
            <strRef>
              <f>'YearByYear'!L4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'YearByYear'!$A$5:$A$45</f>
            </numRef>
          </cat>
          <val>
            <numRef>
              <f>'YearByYear'!$L$5:$L$45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HKD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HK Rent vs Buy — How to use</t>
        </is>
      </c>
    </row>
    <row r="2">
      <c r="A2" s="2" t="inlineStr"/>
    </row>
    <row r="3">
      <c r="A3" s="3" t="inlineStr">
        <is>
          <t>Who this is for</t>
        </is>
      </c>
    </row>
    <row r="4">
      <c r="A4" s="2" t="inlineStr">
        <is>
          <t>Someone in Hong Kong with little/no assets, currently renting, saving toward a first home, and trying to decide whether (and when) to buy — or whether lifelong renting + investing wins on wealth.</t>
        </is>
      </c>
    </row>
    <row r="5">
      <c r="A5" s="2" t="inlineStr"/>
    </row>
    <row r="6">
      <c r="A6" s="3" t="inlineStr">
        <is>
          <t>Sheets</t>
        </is>
      </c>
    </row>
    <row r="7">
      <c r="A7" s="2" t="inlineStr">
        <is>
          <t>1) Assumptions — edit every blue cell to match your income surplus, rent, target flat, mortgage and costs.</t>
        </is>
      </c>
    </row>
    <row r="8">
      <c r="A8" s="2" t="inlineStr">
        <is>
          <t>2) Dashboard — verdict snapshot: affordability, break-even vs renting forever, wealth gap over time.</t>
        </is>
      </c>
    </row>
    <row r="9">
      <c r="A9" s="2" t="inlineStr">
        <is>
          <t>3) TimingMatrix — the key sheet: compare buying in year 0,1,2,…,15 vs never buying.</t>
        </is>
      </c>
    </row>
    <row r="10">
      <c r="A10" s="2" t="inlineStr">
        <is>
          <t>4) YearByYear — full annual cashflow for Rent Forever vs your Selected Buy Year.</t>
        </is>
      </c>
    </row>
    <row r="11">
      <c r="A11" s="2" t="inlineStr">
        <is>
          <t>5) StampDuty — HK AVD Scale 2 reference + duty on your target price.</t>
        </is>
      </c>
    </row>
    <row r="12">
      <c r="A12" s="2" t="inlineStr">
        <is>
          <t>6) Sensitivity — same decision under bear/base/bull property growth and return assumptions.</t>
        </is>
      </c>
    </row>
    <row r="13">
      <c r="A13" s="2" t="inlineStr"/>
    </row>
    <row r="14">
      <c r="A14" s="3" t="inlineStr">
        <is>
          <t>How to decide</t>
        </is>
      </c>
    </row>
    <row r="15">
      <c r="A15" s="2" t="inlineStr">
        <is>
          <t>• Find the earliest TimingMatrix row marked Affordable (savings cover down payment + stamp duty + costs).</t>
        </is>
      </c>
    </row>
    <row r="16">
      <c r="A16" s="2" t="inlineStr">
        <is>
          <t>• Among affordable years, compare Advantage vs Rent at your horizon (job/family planning window).</t>
        </is>
      </c>
    </row>
    <row r="17">
      <c r="A17" s="2" t="inlineStr">
        <is>
          <t>• Check Sensitivity: if Buy only wins when prices grow fast, you are making a leveraged market bet.</t>
        </is>
      </c>
    </row>
    <row r="18">
      <c r="A18" s="2" t="inlineStr">
        <is>
          <t>• If Rent Forever wins across sensible cases, buying can still be rational for stability — just know the wealth trade-off.</t>
        </is>
      </c>
    </row>
    <row r="19">
      <c r="A19" s="2" t="inlineStr"/>
    </row>
    <row r="20">
      <c r="A20" s="3" t="inlineStr">
        <is>
          <t>Model conventions</t>
        </is>
      </c>
    </row>
    <row r="21">
      <c r="A21" s="2" t="inlineStr">
        <is>
          <t>• Buy at the start of the chosen year, using savings accumulated by then.</t>
        </is>
      </c>
    </row>
    <row r="22">
      <c r="A22" s="2" t="inlineStr">
        <is>
          <t>• While renting, (monthly cash after non-housing − rent) is invested at your expected return.</t>
        </is>
      </c>
    </row>
    <row r="23">
      <c r="A23" s="2" t="inlineStr">
        <is>
          <t>• When owning, residual after mortgage + rates + management + maintenance is invested.</t>
        </is>
      </c>
    </row>
    <row r="24">
      <c r="A24" s="2" t="inlineStr">
        <is>
          <t>• Net worth (buy) = liquid investments + property equity (price − mortgage balance).</t>
        </is>
      </c>
    </row>
    <row r="25">
      <c r="A25" s="2" t="inlineStr">
        <is>
          <t>• Stamp duty uses Scale 2 for HKPR buying a sole residential property.</t>
        </is>
      </c>
    </row>
    <row r="26">
      <c r="A26" s="2" t="inlineStr"/>
    </row>
    <row r="27">
      <c r="A27" s="3" t="inlineStr">
        <is>
          <t>Refresh the workbook</t>
        </is>
      </c>
    </row>
    <row r="28">
      <c r="A28" s="2" t="inlineStr">
        <is>
          <t>Edit blue cells on the Assumptions sheet, save, then run:</t>
        </is>
      </c>
    </row>
    <row r="29">
      <c r="A29" s="2" t="inlineStr">
        <is>
          <t xml:space="preserve">  python3 build_hk_rent_vs_buy.py</t>
        </is>
      </c>
    </row>
    <row r="30">
      <c r="A30" s="2" t="inlineStr">
        <is>
          <t>The script reloads Assumptions and refreshes Dashboard, TimingMatrix, YearByYear, and Sensitivity.</t>
        </is>
      </c>
    </row>
    <row r="31">
      <c r="A31" s="2" t="inlineStr"/>
    </row>
    <row r="32">
      <c r="A32" s="3" t="inlineStr">
        <is>
          <t>Disclaimer</t>
        </is>
      </c>
    </row>
    <row r="33">
      <c r="A33" s="2" t="inlineStr">
        <is>
          <t>Educational model only — not financial, tax, or mortgage advice. Verify stamp duty, LTV caps, and mortgage insurance with IRD / HKMA / your bank before any purchase.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8" max="8"/>
    <col width="14" customWidth="1" min="9" max="9"/>
    <col width="14" customWidth="1" min="10" max="10"/>
  </cols>
  <sheetData>
    <row r="1">
      <c r="A1" s="1" t="inlineStr">
        <is>
          <t>Dashboard — Rent vs Buy (Hong Kong)</t>
        </is>
      </c>
    </row>
    <row r="2">
      <c r="A2" s="4" t="inlineStr">
        <is>
          <t>Selected: Buy in year 8 vs Rent forever | Horizon 40 yrs | Target today HK$7,500,000</t>
        </is>
      </c>
    </row>
    <row r="3">
      <c r="A3" s="3" t="inlineStr">
        <is>
          <t>Key results</t>
        </is>
      </c>
    </row>
    <row r="4">
      <c r="A4" s="5" t="inlineStr">
        <is>
          <t>Earliest affordable buy year</t>
        </is>
      </c>
      <c r="B4" s="6" t="n">
        <v>8</v>
      </c>
      <c r="H4" s="7" t="inlineStr">
        <is>
          <t>Year</t>
        </is>
      </c>
      <c r="I4" s="7" t="inlineStr">
        <is>
          <t>NW Rent</t>
        </is>
      </c>
      <c r="J4" s="7" t="inlineStr">
        <is>
          <t>NW Buy</t>
        </is>
      </c>
    </row>
    <row r="5">
      <c r="A5" s="5" t="inlineStr">
        <is>
          <t>Cash needed at selected buy year</t>
        </is>
      </c>
      <c r="B5" s="8" t="n">
        <v>2351562</v>
      </c>
      <c r="H5" t="n">
        <v>0</v>
      </c>
      <c r="I5" s="9" t="n">
        <v>276000</v>
      </c>
      <c r="J5" s="9" t="n">
        <v>276000</v>
      </c>
    </row>
    <row r="6">
      <c r="A6" s="5" t="inlineStr">
        <is>
          <t>Can you afford selected buy year?</t>
        </is>
      </c>
      <c r="B6" s="10" t="inlineStr">
        <is>
          <t>YES</t>
        </is>
      </c>
      <c r="H6" t="n">
        <v>2</v>
      </c>
      <c r="I6" s="9" t="n">
        <v>854046.9</v>
      </c>
      <c r="J6" s="9" t="n">
        <v>854046.9</v>
      </c>
    </row>
    <row r="7">
      <c r="A7" s="5" t="inlineStr">
        <is>
          <t>Rent-forever NW at horizon</t>
        </is>
      </c>
      <c r="B7" s="8" t="n">
        <v>23545936</v>
      </c>
      <c r="H7" t="n">
        <v>4</v>
      </c>
      <c r="I7" s="9" t="n">
        <v>1468933.37</v>
      </c>
      <c r="J7" s="9" t="n">
        <v>1468933.37</v>
      </c>
    </row>
    <row r="8">
      <c r="A8" s="5" t="inlineStr">
        <is>
          <t>Buy-path NW at horizon</t>
        </is>
      </c>
      <c r="B8" s="8" t="n">
        <v>13624405</v>
      </c>
      <c r="H8" t="n">
        <v>6</v>
      </c>
      <c r="I8" s="9" t="n">
        <v>2123380.69</v>
      </c>
      <c r="J8" s="9" t="n">
        <v>2123380.69</v>
      </c>
    </row>
    <row r="9">
      <c r="A9" s="5" t="inlineStr">
        <is>
          <t>Wealth advantage of buying</t>
        </is>
      </c>
      <c r="B9" s="11" t="n">
        <v>-9921530</v>
      </c>
      <c r="H9" t="n">
        <v>8</v>
      </c>
      <c r="I9" s="9" t="n">
        <v>2820344.67</v>
      </c>
      <c r="J9" s="9" t="n">
        <v>2092580.21</v>
      </c>
    </row>
    <row r="10">
      <c r="H10" t="n">
        <v>10</v>
      </c>
      <c r="I10" s="9" t="n">
        <v>3563038.49</v>
      </c>
      <c r="J10" s="9" t="n">
        <v>2655608.67</v>
      </c>
    </row>
    <row r="11">
      <c r="A11" t="inlineStr">
        <is>
          <t>First year buy NW ≥ rent NW (after purchase)</t>
        </is>
      </c>
      <c r="B11" s="6" t="inlineStr">
        <is>
          <t>Never within horizon</t>
        </is>
      </c>
      <c r="H11" t="n">
        <v>12</v>
      </c>
      <c r="I11" s="9" t="n">
        <v>4354957.89</v>
      </c>
      <c r="J11" s="9" t="n">
        <v>3178962.68</v>
      </c>
    </row>
    <row r="12">
      <c r="H12" t="n">
        <v>14</v>
      </c>
      <c r="I12" s="9" t="n">
        <v>5199909.02</v>
      </c>
      <c r="J12" s="9" t="n">
        <v>3725654.32</v>
      </c>
    </row>
    <row r="13">
      <c r="A13" s="3" t="inlineStr">
        <is>
          <t>Interpretation</t>
        </is>
      </c>
      <c r="H13" t="n">
        <v>16</v>
      </c>
      <c r="I13" s="9" t="n">
        <v>6102039.25</v>
      </c>
      <c r="J13" s="9" t="n">
        <v>4296874.43</v>
      </c>
    </row>
    <row r="14" ht="58" customHeight="1">
      <c r="A14" s="12" t="inlineStr">
        <is>
          <t>Lifelong renting + investing finishes ~HK$9,921,530 ahead at year 40. Buying in year 8 may still make sense for housing security, but it is not the wealth-maximising path under these assumptions.</t>
        </is>
      </c>
      <c r="H14" t="n">
        <v>18</v>
      </c>
      <c r="I14" s="9" t="n">
        <v>7065871.22</v>
      </c>
      <c r="J14" s="9" t="n">
        <v>4893890</v>
      </c>
    </row>
    <row r="15">
      <c r="H15" t="n">
        <v>20</v>
      </c>
      <c r="I15" s="9" t="n">
        <v>8096340.52</v>
      </c>
      <c r="J15" s="9" t="n">
        <v>5518050.36</v>
      </c>
    </row>
    <row r="16">
      <c r="A16" s="3" t="inlineStr">
        <is>
          <t>Cost snapshot (selected buy year, if affordable)</t>
        </is>
      </c>
      <c r="H16" t="n">
        <v>22</v>
      </c>
      <c r="I16" s="9" t="n">
        <v>9198837.42</v>
      </c>
      <c r="J16" s="9" t="n">
        <v>6170794.12</v>
      </c>
    </row>
    <row r="17">
      <c r="A17" t="inlineStr">
        <is>
          <t>Purchase price</t>
        </is>
      </c>
      <c r="B17" s="9" t="n">
        <v>8787445</v>
      </c>
      <c r="H17" t="n">
        <v>24</v>
      </c>
      <c r="I17" s="9" t="n">
        <v>10379253</v>
      </c>
      <c r="J17" s="9" t="n">
        <v>6853656.63</v>
      </c>
    </row>
    <row r="18">
      <c r="A18" t="inlineStr">
        <is>
          <t>Stamp duty (AVD)</t>
        </is>
      </c>
      <c r="B18" s="9" t="n">
        <v>263623</v>
      </c>
      <c r="H18" t="n">
        <v>26</v>
      </c>
      <c r="I18" s="9" t="n">
        <v>11644030.29</v>
      </c>
      <c r="J18" s="9" t="n">
        <v>7568278.31</v>
      </c>
    </row>
    <row r="19">
      <c r="A19" t="inlineStr">
        <is>
          <t>Down payment</t>
        </is>
      </c>
      <c r="B19" s="9" t="n">
        <v>1757489</v>
      </c>
      <c r="H19" t="n">
        <v>28</v>
      </c>
      <c r="I19" s="9" t="n">
        <v>13000220.87</v>
      </c>
      <c r="J19" s="9" t="n">
        <v>8316413.69</v>
      </c>
    </row>
    <row r="20">
      <c r="A20" t="inlineStr">
        <is>
          <t>Mortgage loan</t>
        </is>
      </c>
      <c r="B20" s="9" t="n">
        <v>7029956</v>
      </c>
      <c r="H20" t="n">
        <v>30</v>
      </c>
      <c r="I20" s="9" t="n">
        <v>14455547.6</v>
      </c>
      <c r="J20" s="9" t="n">
        <v>9099941.52</v>
      </c>
    </row>
    <row r="21">
      <c r="A21" t="inlineStr">
        <is>
          <t>One-off cash to close</t>
        </is>
      </c>
      <c r="B21" s="9" t="n">
        <v>2351562</v>
      </c>
      <c r="H21" t="n">
        <v>32</v>
      </c>
      <c r="I21" s="9" t="n">
        <v>16018474.15</v>
      </c>
      <c r="J21" s="9" t="n">
        <v>9920875.74</v>
      </c>
    </row>
    <row r="22">
      <c r="A22" t="inlineStr">
        <is>
          <t>Est. monthly mortgage (P&amp;I)</t>
        </is>
      </c>
      <c r="B22" s="9" t="n">
        <v>367997</v>
      </c>
      <c r="H22" t="n">
        <v>34</v>
      </c>
      <c r="I22" s="9" t="n">
        <v>17698282.01</v>
      </c>
      <c r="J22" s="9" t="n">
        <v>10781377.67</v>
      </c>
    </row>
    <row r="23">
      <c r="H23" t="n">
        <v>36</v>
      </c>
      <c r="I23" s="9" t="n">
        <v>19505155.9</v>
      </c>
      <c r="J23" s="9" t="n">
        <v>11683769.42</v>
      </c>
    </row>
    <row r="24">
      <c r="H24" t="n">
        <v>38</v>
      </c>
      <c r="I24" s="9" t="n">
        <v>21450278.51</v>
      </c>
      <c r="J24" s="9" t="n">
        <v>12630548.71</v>
      </c>
    </row>
    <row r="25">
      <c r="A25" s="3" t="inlineStr">
        <is>
          <t>Next steps</t>
        </is>
      </c>
      <c r="H25" t="n">
        <v>40</v>
      </c>
      <c r="I25" s="9" t="n">
        <v>23545935.5</v>
      </c>
      <c r="J25" s="9" t="n">
        <v>13624405.19</v>
      </c>
    </row>
    <row r="26">
      <c r="A26" s="12" t="inlineStr">
        <is>
          <t>1) Put your real numbers into Assumptions (and DEFAULTS). 2) Re-run python3 build_hk_rent_vs_buy.py. 3) Decide from TimingMatrix + Sensitivity.</t>
        </is>
      </c>
    </row>
  </sheetData>
  <mergeCells count="4">
    <mergeCell ref="A26:F26"/>
    <mergeCell ref="A2:F2"/>
    <mergeCell ref="A14:F1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52" customWidth="1" min="3" max="3"/>
    <col width="28" customWidth="1" min="4" max="4"/>
  </cols>
  <sheetData>
    <row r="1">
      <c r="A1" s="1" t="inlineStr">
        <is>
          <t>Assumptions — edit blue cells, then rebuild</t>
        </is>
      </c>
    </row>
    <row r="2" ht="48" customHeight="1">
      <c r="A2" s="4" t="inlineStr">
        <is>
          <t>All figures in HKD. Assumes HK permanent resident buying sole residential property (Scale 2 stamp duty). After editing blue cells, save this file and re-run: python3 build_hk_rent_vs_buy.py (the builder reloads your inputs automatically).</t>
        </is>
      </c>
    </row>
    <row r="4">
      <c r="A4" s="13" t="inlineStr">
        <is>
          <t>1. You &amp; savings</t>
        </is>
      </c>
    </row>
    <row r="5">
      <c r="A5" s="14" t="inlineStr">
        <is>
          <t>Input</t>
        </is>
      </c>
      <c r="B5" s="14" t="inlineStr">
        <is>
          <t>Value</t>
        </is>
      </c>
      <c r="C5" s="14" t="inlineStr">
        <is>
          <t>Unit / note</t>
        </is>
      </c>
      <c r="D5" s="14" t="inlineStr">
        <is>
          <t>Key</t>
        </is>
      </c>
    </row>
    <row r="6">
      <c r="A6" s="5" t="inlineStr">
        <is>
          <t>Starting liquid savings</t>
        </is>
      </c>
      <c r="B6" s="15" t="n">
        <v>0</v>
      </c>
      <c r="C6" s="4" t="inlineStr">
        <is>
          <t>Cash/investments today (0 if none)</t>
        </is>
      </c>
      <c r="D6" s="4" t="inlineStr">
        <is>
          <t>starting_savings</t>
        </is>
      </c>
    </row>
    <row r="7">
      <c r="A7" s="5" t="inlineStr">
        <is>
          <t>Monthly cash after non-housing costs</t>
        </is>
      </c>
      <c r="B7" s="15" t="n">
        <v>45000</v>
      </c>
      <c r="C7" s="4" t="inlineStr">
        <is>
          <t>Surplus before rent/mortgage</t>
        </is>
      </c>
      <c r="D7" s="4" t="inlineStr">
        <is>
          <t>monthly_cash_after_non_housing</t>
        </is>
      </c>
    </row>
    <row r="8">
      <c r="A8" s="5" t="inlineStr">
        <is>
          <t>Current monthly rent</t>
        </is>
      </c>
      <c r="B8" s="15" t="n">
        <v>22000</v>
      </c>
      <c r="C8" s="4" t="inlineStr">
        <is>
          <t>Comparable home to purchase target</t>
        </is>
      </c>
      <c r="D8" s="4" t="inlineStr">
        <is>
          <t>current_monthly_rent</t>
        </is>
      </c>
    </row>
    <row r="9">
      <c r="A9" s="5" t="inlineStr">
        <is>
          <t>Annual rent growth</t>
        </is>
      </c>
      <c r="B9" s="16" t="n">
        <v>0.025</v>
      </c>
      <c r="C9" s="4" t="inlineStr">
        <is>
          <t>Long-run rent inflation</t>
        </is>
      </c>
      <c r="D9" s="4" t="inlineStr">
        <is>
          <t>rent_growth_pct</t>
        </is>
      </c>
    </row>
    <row r="10">
      <c r="A10" s="5" t="inlineStr">
        <is>
          <t>Expected liquid investment return</t>
        </is>
      </c>
      <c r="B10" s="16" t="n">
        <v>0.055</v>
      </c>
      <c r="C10" s="4" t="inlineStr">
        <is>
          <t>Markets return while renting/holding cash</t>
        </is>
      </c>
      <c r="D10" s="4" t="inlineStr">
        <is>
          <t>investment_return_pct</t>
        </is>
      </c>
    </row>
    <row r="11">
      <c r="A11" s="5" t="inlineStr">
        <is>
          <t>General inflation</t>
        </is>
      </c>
      <c r="B11" s="16" t="n">
        <v>0.02</v>
      </c>
      <c r="C11" s="4" t="inlineStr">
        <is>
          <t>Grows management fees</t>
        </is>
      </c>
      <c r="D11" s="4" t="inlineStr">
        <is>
          <t>inflation_pct</t>
        </is>
      </c>
    </row>
    <row r="13">
      <c r="A13" s="13" t="inlineStr">
        <is>
          <t>2. Target property</t>
        </is>
      </c>
    </row>
    <row r="14">
      <c r="A14" s="14" t="inlineStr">
        <is>
          <t>Input</t>
        </is>
      </c>
      <c r="B14" s="14" t="inlineStr">
        <is>
          <t>Value</t>
        </is>
      </c>
      <c r="C14" s="14" t="inlineStr">
        <is>
          <t>Unit / note</t>
        </is>
      </c>
      <c r="D14" s="14" t="inlineStr">
        <is>
          <t>Key</t>
        </is>
      </c>
    </row>
    <row r="15">
      <c r="A15" s="5" t="inlineStr">
        <is>
          <t>Target property price (today)</t>
        </is>
      </c>
      <c r="B15" s="15" t="n">
        <v>7500000</v>
      </c>
      <c r="C15" s="4" t="inlineStr">
        <is>
          <t>Ask price in today's dollars</t>
        </is>
      </c>
      <c r="D15" s="4" t="inlineStr">
        <is>
          <t>property_price</t>
        </is>
      </c>
    </row>
    <row r="16">
      <c r="A16" s="5" t="inlineStr">
        <is>
          <t>Annual property price growth</t>
        </is>
      </c>
      <c r="B16" s="16" t="n">
        <v>0.02</v>
      </c>
      <c r="C16" s="4" t="inlineStr">
        <is>
          <t>Try 0% / 2% / 4% on Sensitivity</t>
        </is>
      </c>
      <c r="D16" s="4" t="inlineStr">
        <is>
          <t>property_growth_pct</t>
        </is>
      </c>
    </row>
    <row r="17">
      <c r="A17" s="5" t="inlineStr">
        <is>
          <t>Selected buy year (from now)</t>
        </is>
      </c>
      <c r="B17" s="17" t="n">
        <v>8</v>
      </c>
      <c r="C17" s="4" t="inlineStr">
        <is>
          <t>Used by Dashboard &amp; YearByYear</t>
        </is>
      </c>
      <c r="D17" s="4" t="inlineStr">
        <is>
          <t>buy_year</t>
        </is>
      </c>
    </row>
    <row r="18">
      <c r="A18" s="5" t="inlineStr">
        <is>
          <t>Analysis horizon (years)</t>
        </is>
      </c>
      <c r="B18" s="17" t="n">
        <v>40</v>
      </c>
      <c r="C18" s="4" t="inlineStr">
        <is>
          <t>Typically 30–40</t>
        </is>
      </c>
      <c r="D18" s="4" t="inlineStr">
        <is>
          <t>horizon_years</t>
        </is>
      </c>
    </row>
    <row r="20">
      <c r="A20" s="13" t="inlineStr">
        <is>
          <t>3. Mortgage (HK)</t>
        </is>
      </c>
    </row>
    <row r="21">
      <c r="A21" s="14" t="inlineStr">
        <is>
          <t>Input</t>
        </is>
      </c>
      <c r="B21" s="14" t="inlineStr">
        <is>
          <t>Value</t>
        </is>
      </c>
      <c r="C21" s="14" t="inlineStr">
        <is>
          <t>Unit / note</t>
        </is>
      </c>
      <c r="D21" s="14" t="inlineStr">
        <is>
          <t>Key</t>
        </is>
      </c>
    </row>
    <row r="22">
      <c r="A22" s="5" t="inlineStr">
        <is>
          <t>Loan-to-value (LTV)</t>
        </is>
      </c>
      <c r="B22" s="16" t="n">
        <v>0.8</v>
      </c>
      <c r="C22" s="4" t="inlineStr">
        <is>
          <t>Often 80–90% with mortgage insurance</t>
        </is>
      </c>
      <c r="D22" s="4" t="inlineStr">
        <is>
          <t>ltv_pct</t>
        </is>
      </c>
    </row>
    <row r="23">
      <c r="A23" s="5" t="inlineStr">
        <is>
          <t>Mortgage interest rate</t>
        </is>
      </c>
      <c r="B23" s="16" t="n">
        <v>0.032</v>
      </c>
      <c r="C23" s="4" t="inlineStr">
        <is>
          <t>Effective HIBOR-linked package</t>
        </is>
      </c>
      <c r="D23" s="4" t="inlineStr">
        <is>
          <t>mortgage_rate_pct</t>
        </is>
      </c>
    </row>
    <row r="24">
      <c r="A24" s="5" t="inlineStr">
        <is>
          <t>Mortgage tenor (years)</t>
        </is>
      </c>
      <c r="B24" s="17" t="n">
        <v>30</v>
      </c>
      <c r="C24" s="4" t="inlineStr">
        <is>
          <t>Usually 25–30</t>
        </is>
      </c>
      <c r="D24" s="4" t="inlineStr">
        <is>
          <t>mortgage_years</t>
        </is>
      </c>
    </row>
    <row r="25">
      <c r="A25" s="5" t="inlineStr">
        <is>
          <t>Mortgage insurance (one-off % of loan)</t>
        </is>
      </c>
      <c r="B25" s="16" t="n">
        <v>0.015</v>
      </c>
      <c r="C25" s="4" t="inlineStr">
        <is>
          <t>Set 0 if not required</t>
        </is>
      </c>
      <c r="D25" s="4" t="inlineStr">
        <is>
          <t>mortgage_insurance_pct_of_loan</t>
        </is>
      </c>
    </row>
    <row r="27">
      <c r="A27" s="13" t="inlineStr">
        <is>
          <t>4. Purchase costs (HK)</t>
        </is>
      </c>
    </row>
    <row r="28">
      <c r="A28" s="14" t="inlineStr">
        <is>
          <t>Input</t>
        </is>
      </c>
      <c r="B28" s="14" t="inlineStr">
        <is>
          <t>Value</t>
        </is>
      </c>
      <c r="C28" s="14" t="inlineStr">
        <is>
          <t>Unit / note</t>
        </is>
      </c>
      <c r="D28" s="14" t="inlineStr">
        <is>
          <t>Key</t>
        </is>
      </c>
    </row>
    <row r="29">
      <c r="A29" s="5" t="inlineStr">
        <is>
          <t>Buyer agency fee %</t>
        </is>
      </c>
      <c r="B29" s="16" t="n">
        <v>0</v>
      </c>
      <c r="C29" s="4" t="inlineStr">
        <is>
          <t>Often 0 if seller pays</t>
        </is>
      </c>
      <c r="D29" s="4" t="inlineStr">
        <is>
          <t>buyer_agency_fee_pct</t>
        </is>
      </c>
    </row>
    <row r="30">
      <c r="A30" s="5" t="inlineStr">
        <is>
          <t>Legal / conveyancing fees</t>
        </is>
      </c>
      <c r="B30" s="15" t="n">
        <v>15000</v>
      </c>
      <c r="C30" s="4" t="inlineStr">
        <is>
          <t>Solicitor fees</t>
        </is>
      </c>
      <c r="D30" s="4" t="inlineStr">
        <is>
          <t>legal_fees</t>
        </is>
      </c>
    </row>
    <row r="31">
      <c r="A31" s="5" t="inlineStr">
        <is>
          <t>Misc. purchase costs</t>
        </is>
      </c>
      <c r="B31" s="15" t="n">
        <v>10000</v>
      </c>
      <c r="C31" s="4" t="inlineStr">
        <is>
          <t>Bank, search, setup</t>
        </is>
      </c>
      <c r="D31" s="4" t="inlineStr">
        <is>
          <t>misc_purchase_costs</t>
        </is>
      </c>
    </row>
    <row r="32">
      <c r="A32" s="5" t="inlineStr">
        <is>
          <t>Renovation / furniture</t>
        </is>
      </c>
      <c r="B32" s="15" t="n">
        <v>200000</v>
      </c>
      <c r="C32" s="4" t="inlineStr">
        <is>
          <t>Cash at purchase</t>
        </is>
      </c>
      <c r="D32" s="4" t="inlineStr">
        <is>
          <t>renovation_fitout</t>
        </is>
      </c>
    </row>
    <row r="34">
      <c r="A34" s="13" t="inlineStr">
        <is>
          <t>5. Ownership costs</t>
        </is>
      </c>
    </row>
    <row r="35">
      <c r="A35" s="14" t="inlineStr">
        <is>
          <t>Input</t>
        </is>
      </c>
      <c r="B35" s="14" t="inlineStr">
        <is>
          <t>Value</t>
        </is>
      </c>
      <c r="C35" s="14" t="inlineStr">
        <is>
          <t>Unit / note</t>
        </is>
      </c>
      <c r="D35" s="14" t="inlineStr">
        <is>
          <t>Key</t>
        </is>
      </c>
    </row>
    <row r="36">
      <c r="A36" s="5" t="inlineStr">
        <is>
          <t>Rates + Gov rent (≈ % of price / yr)</t>
        </is>
      </c>
      <c r="B36" s="16" t="n">
        <v>0.0025</v>
      </c>
      <c r="C36" s="4" t="inlineStr">
        <is>
          <t>Blended vs market value</t>
        </is>
      </c>
      <c r="D36" s="4" t="inlineStr">
        <is>
          <t>annual_rates_gov_rent_pct_of_price</t>
        </is>
      </c>
    </row>
    <row r="37">
      <c r="A37" s="5" t="inlineStr">
        <is>
          <t>Monthly management fee (today)</t>
        </is>
      </c>
      <c r="B37" s="15" t="n">
        <v>2500</v>
      </c>
      <c r="C37" s="4" t="inlineStr">
        <is>
          <t>Building management</t>
        </is>
      </c>
      <c r="D37" s="4" t="inlineStr">
        <is>
          <t>monthly_management_fee</t>
        </is>
      </c>
    </row>
    <row r="38">
      <c r="A38" s="5" t="inlineStr">
        <is>
          <t>Maintenance / repairs (% price / yr)</t>
        </is>
      </c>
      <c r="B38" s="16" t="n">
        <v>0.005</v>
      </c>
      <c r="C38" s="4" t="inlineStr">
        <is>
          <t>Repair allowance</t>
        </is>
      </c>
      <c r="D38" s="4" t="inlineStr">
        <is>
          <t>annual_maintenance_pct_of_price</t>
        </is>
      </c>
    </row>
    <row r="40">
      <c r="A40" s="13" t="inlineStr">
        <is>
          <t>6. Horizon valuation</t>
        </is>
      </c>
    </row>
    <row r="41">
      <c r="A41" s="14" t="inlineStr">
        <is>
          <t>Input</t>
        </is>
      </c>
      <c r="B41" s="14" t="inlineStr">
        <is>
          <t>Value</t>
        </is>
      </c>
      <c r="C41" s="14" t="inlineStr">
        <is>
          <t>Unit / note</t>
        </is>
      </c>
      <c r="D41" s="14" t="inlineStr">
        <is>
          <t>Key</t>
        </is>
      </c>
    </row>
    <row r="42">
      <c r="A42" s="5" t="inlineStr">
        <is>
          <t>Selling cost % (if sale modelled)</t>
        </is>
      </c>
      <c r="B42" s="16" t="n">
        <v>0.015</v>
      </c>
      <c r="C42" s="4" t="inlineStr">
        <is>
          <t>Agency + legal on exit</t>
        </is>
      </c>
      <c r="D42" s="4" t="inlineStr">
        <is>
          <t>selling_cost_pct</t>
        </is>
      </c>
    </row>
    <row r="43">
      <c r="A43" s="5" t="inlineStr">
        <is>
          <t>Force sale at horizon? (0=No, 1=Yes)</t>
        </is>
      </c>
      <c r="B43" s="17" t="n">
        <v>0</v>
      </c>
      <c r="C43" s="4" t="inlineStr">
        <is>
          <t>0 = mark equity to market</t>
        </is>
      </c>
      <c r="D43" s="4" t="inlineStr">
        <is>
          <t>include_sale_at_horizon</t>
        </is>
      </c>
    </row>
    <row r="44">
      <c r="A44" s="5" t="inlineStr">
        <is>
          <t>HKPR sole residential? (1=Yes)</t>
        </is>
      </c>
      <c r="B44" s="17" t="n">
        <v>1</v>
      </c>
      <c r="C44" s="4" t="inlineStr">
        <is>
          <t>Scale 2 AVD when 1</t>
        </is>
      </c>
      <c r="D44" s="4" t="inlineStr">
        <is>
          <t>is_hkpr_sole_residential</t>
        </is>
      </c>
    </row>
    <row r="46">
      <c r="A46" s="13" t="inlineStr">
        <is>
          <t>7. Derived (auto)</t>
        </is>
      </c>
    </row>
    <row r="47">
      <c r="A47" t="inlineStr">
        <is>
          <t>Annual surplus while renting (year 0)</t>
        </is>
      </c>
      <c r="B47" s="9">
        <f>(Assumptions!$B$7-Assumptions!$B$8)*12</f>
        <v/>
      </c>
    </row>
    <row r="48">
      <c r="A48" t="inlineStr">
        <is>
          <t>Down payment (today's price)</t>
        </is>
      </c>
      <c r="B48" s="9">
        <f>Assumptions!$B$15*(1-Assumptions!$B$22)</f>
        <v/>
      </c>
    </row>
    <row r="49">
      <c r="A49" t="inlineStr">
        <is>
          <t>Stamp duty at today's price</t>
        </is>
      </c>
      <c r="B49" s="9">
        <f>StampDuty!B3</f>
        <v/>
      </c>
    </row>
    <row r="50">
      <c r="A50" t="inlineStr">
        <is>
          <t>Est. cash needed to buy today</t>
        </is>
      </c>
      <c r="B50" s="9">
        <f>Assumptions!$B$48+Assumptions!$B$49+Assumptions!$B$15*Assumptions!$B$29+Assumptions!$B$15*Assumptions!$B$22*Assumptions!$B$25+Assumptions!$B$30+Assumptions!$B$31+Assumptions!$B$32</f>
        <v/>
      </c>
    </row>
    <row r="51">
      <c r="A51" t="inlineStr">
        <is>
          <t>Rough years to save (no growth/returns)</t>
        </is>
      </c>
      <c r="B51" s="18">
        <f>IF(Assumptions!$B$47&lt;=0,"N/A",(Assumptions!$B$50-Assumptions!$B$6)/Assumptions!$B$47)</f>
        <v/>
      </c>
    </row>
    <row r="53">
      <c r="A53" s="3" t="inlineStr">
        <is>
          <t>Tip</t>
        </is>
      </c>
    </row>
    <row r="54" ht="55" customHeight="1">
      <c r="A54" s="4" t="inlineStr">
        <is>
          <t>Decision rule: choose the earliest affordable buy year where Buy net worth beats Rent-forever at your horizon — and still wins (or is close) under 0% property growth on Sensitivity. If renting wins even then, treat buying as lifestyle/hedge, not wealth maximisation.</t>
        </is>
      </c>
    </row>
  </sheetData>
  <mergeCells count="10">
    <mergeCell ref="A1:D1"/>
    <mergeCell ref="A40:D40"/>
    <mergeCell ref="A27:D27"/>
    <mergeCell ref="A34:D34"/>
    <mergeCell ref="A4:D4"/>
    <mergeCell ref="A20:D20"/>
    <mergeCell ref="A54:D54"/>
    <mergeCell ref="A2:D2"/>
    <mergeCell ref="A46:D46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Buy timing matrix — when (if ever) should you buy?</t>
        </is>
      </c>
    </row>
    <row r="2" ht="40" customHeight="1">
      <c r="A2" s="4" t="inlineStr">
        <is>
          <t>Each row = buy at the start of that year (0 = buy now). 'Never' = rent for the full horizon and invest the difference. Advantage = Buy net worth − Rent-forever net worth (positive =&gt; buying ahead on wealth).</t>
        </is>
      </c>
    </row>
    <row r="4" ht="32" customHeight="1">
      <c r="A4" s="14" t="inlineStr">
        <is>
          <t>Buy year</t>
        </is>
      </c>
      <c r="B4" s="14" t="inlineStr">
        <is>
          <t>Affordable?</t>
        </is>
      </c>
      <c r="C4" s="14" t="inlineStr">
        <is>
          <t>Purchase price</t>
        </is>
      </c>
      <c r="D4" s="14" t="inlineStr">
        <is>
          <t>Cash needed</t>
        </is>
      </c>
      <c r="E4" s="14" t="inlineStr">
        <is>
          <t>Savings when trying</t>
        </is>
      </c>
      <c r="F4" s="14" t="inlineStr">
        <is>
          <t>Shortfall</t>
        </is>
      </c>
      <c r="G4" s="14" t="inlineStr">
        <is>
          <t>Monthly housing yr1*</t>
        </is>
      </c>
      <c r="H4" s="14" t="inlineStr">
        <is>
          <t>NW Buy @Y10</t>
        </is>
      </c>
      <c r="I4" s="14" t="inlineStr">
        <is>
          <t>NW Buy @Y20</t>
        </is>
      </c>
      <c r="J4" s="14" t="inlineStr">
        <is>
          <t>NW Buy @Y30</t>
        </is>
      </c>
      <c r="K4" s="14" t="inlineStr">
        <is>
          <t>NW Buy @Y40</t>
        </is>
      </c>
      <c r="L4" s="14" t="inlineStr">
        <is>
          <t>Adv vs Rent @Y10</t>
        </is>
      </c>
      <c r="M4" s="14" t="inlineStr">
        <is>
          <t>Adv vs Rent @Y20</t>
        </is>
      </c>
      <c r="N4" s="14" t="inlineStr">
        <is>
          <t>Adv vs Rent @Y30</t>
        </is>
      </c>
      <c r="O4" s="14" t="inlineStr">
        <is>
          <t>Adv vs Rent @Y40</t>
        </is>
      </c>
      <c r="P4" s="14" t="inlineStr">
        <is>
          <t>Final NW</t>
        </is>
      </c>
      <c r="Q4" s="14" t="inlineStr">
        <is>
          <t>Final Adv vs Rent</t>
        </is>
      </c>
      <c r="R4" s="14" t="inlineStr">
        <is>
          <t>Verdict</t>
        </is>
      </c>
    </row>
    <row r="5">
      <c r="A5" t="n">
        <v>0</v>
      </c>
      <c r="B5" s="19" t="inlineStr">
        <is>
          <t>No</t>
        </is>
      </c>
      <c r="C5" s="9" t="n">
        <v>7500000</v>
      </c>
      <c r="D5" s="9" t="n">
        <v>2040000</v>
      </c>
      <c r="E5" s="9" t="n">
        <v>0</v>
      </c>
      <c r="F5" s="9" t="n">
        <v>2040000</v>
      </c>
      <c r="G5" t="inlineStr">
        <is>
          <t>—</t>
        </is>
      </c>
      <c r="H5" s="9" t="n">
        <v>3563038.49</v>
      </c>
      <c r="I5" s="9" t="n">
        <v>8096340.52</v>
      </c>
      <c r="J5" s="9" t="n">
        <v>14455547.6</v>
      </c>
      <c r="K5" s="9" t="n">
        <v>23545935.5</v>
      </c>
      <c r="L5" s="20" t="n">
        <v>0</v>
      </c>
      <c r="M5" s="20" t="n">
        <v>0</v>
      </c>
      <c r="N5" s="20" t="n">
        <v>0</v>
      </c>
      <c r="O5" s="20" t="n">
        <v>0</v>
      </c>
      <c r="P5" s="9" t="n">
        <v>23545935.5</v>
      </c>
      <c r="Q5" s="20" t="n">
        <v>0</v>
      </c>
      <c r="R5" s="21" t="inlineStr">
        <is>
          <t>Keep saving</t>
        </is>
      </c>
    </row>
    <row r="6">
      <c r="A6" t="n">
        <v>1</v>
      </c>
      <c r="B6" s="19" t="inlineStr">
        <is>
          <t>No</t>
        </is>
      </c>
      <c r="C6" s="9" t="n">
        <v>7650000</v>
      </c>
      <c r="D6" s="9" t="n">
        <v>2076300</v>
      </c>
      <c r="E6" s="9" t="n">
        <v>276000</v>
      </c>
      <c r="F6" s="9" t="n">
        <v>1800300</v>
      </c>
      <c r="G6" t="inlineStr">
        <is>
          <t>—</t>
        </is>
      </c>
      <c r="H6" s="9" t="n">
        <v>3563038.49</v>
      </c>
      <c r="I6" s="9" t="n">
        <v>8096340.52</v>
      </c>
      <c r="J6" s="9" t="n">
        <v>14455547.6</v>
      </c>
      <c r="K6" s="9" t="n">
        <v>23545935.5</v>
      </c>
      <c r="L6" s="20" t="n">
        <v>0</v>
      </c>
      <c r="M6" s="20" t="n">
        <v>0</v>
      </c>
      <c r="N6" s="20" t="n">
        <v>0</v>
      </c>
      <c r="O6" s="20" t="n">
        <v>0</v>
      </c>
      <c r="P6" s="9" t="n">
        <v>23545935.5</v>
      </c>
      <c r="Q6" s="20" t="n">
        <v>0</v>
      </c>
      <c r="R6" s="21" t="inlineStr">
        <is>
          <t>Keep saving</t>
        </is>
      </c>
    </row>
    <row r="7">
      <c r="A7" t="n">
        <v>2</v>
      </c>
      <c r="B7" s="19" t="inlineStr">
        <is>
          <t>No</t>
        </is>
      </c>
      <c r="C7" s="9" t="n">
        <v>7803000</v>
      </c>
      <c r="D7" s="9" t="n">
        <v>2113326</v>
      </c>
      <c r="E7" s="9" t="n">
        <v>560580</v>
      </c>
      <c r="F7" s="9" t="n">
        <v>1552746</v>
      </c>
      <c r="G7" t="inlineStr">
        <is>
          <t>—</t>
        </is>
      </c>
      <c r="H7" s="9" t="n">
        <v>3563038.49</v>
      </c>
      <c r="I7" s="9" t="n">
        <v>8096340.52</v>
      </c>
      <c r="J7" s="9" t="n">
        <v>14455547.6</v>
      </c>
      <c r="K7" s="9" t="n">
        <v>23545935.5</v>
      </c>
      <c r="L7" s="20" t="n">
        <v>0</v>
      </c>
      <c r="M7" s="20" t="n">
        <v>0</v>
      </c>
      <c r="N7" s="20" t="n">
        <v>0</v>
      </c>
      <c r="O7" s="20" t="n">
        <v>0</v>
      </c>
      <c r="P7" s="9" t="n">
        <v>23545935.5</v>
      </c>
      <c r="Q7" s="20" t="n">
        <v>0</v>
      </c>
      <c r="R7" s="21" t="inlineStr">
        <is>
          <t>Keep saving</t>
        </is>
      </c>
    </row>
    <row r="8">
      <c r="A8" t="n">
        <v>3</v>
      </c>
      <c r="B8" s="19" t="inlineStr">
        <is>
          <t>No</t>
        </is>
      </c>
      <c r="C8" s="9" t="n">
        <v>7959060</v>
      </c>
      <c r="D8" s="9" t="n">
        <v>2151092.52</v>
      </c>
      <c r="E8" s="9" t="n">
        <v>854046.9</v>
      </c>
      <c r="F8" s="9" t="n">
        <v>1297045.62</v>
      </c>
      <c r="G8" t="inlineStr">
        <is>
          <t>—</t>
        </is>
      </c>
      <c r="H8" s="9" t="n">
        <v>3563038.49</v>
      </c>
      <c r="I8" s="9" t="n">
        <v>8096340.52</v>
      </c>
      <c r="J8" s="9" t="n">
        <v>14455547.6</v>
      </c>
      <c r="K8" s="9" t="n">
        <v>23545935.5</v>
      </c>
      <c r="L8" s="20" t="n">
        <v>0</v>
      </c>
      <c r="M8" s="20" t="n">
        <v>0</v>
      </c>
      <c r="N8" s="20" t="n">
        <v>0</v>
      </c>
      <c r="O8" s="20" t="n">
        <v>0</v>
      </c>
      <c r="P8" s="9" t="n">
        <v>23545935.5</v>
      </c>
      <c r="Q8" s="20" t="n">
        <v>0</v>
      </c>
      <c r="R8" s="21" t="inlineStr">
        <is>
          <t>Keep saving</t>
        </is>
      </c>
    </row>
    <row r="9">
      <c r="A9" t="n">
        <v>4</v>
      </c>
      <c r="B9" s="19" t="inlineStr">
        <is>
          <t>No</t>
        </is>
      </c>
      <c r="C9" s="9" t="n">
        <v>8118241.2</v>
      </c>
      <c r="D9" s="9" t="n">
        <v>2189614.37</v>
      </c>
      <c r="E9" s="9" t="n">
        <v>1156720.35</v>
      </c>
      <c r="F9" s="9" t="n">
        <v>1032894.02</v>
      </c>
      <c r="G9" t="inlineStr">
        <is>
          <t>—</t>
        </is>
      </c>
      <c r="H9" s="9" t="n">
        <v>3563038.49</v>
      </c>
      <c r="I9" s="9" t="n">
        <v>8096340.52</v>
      </c>
      <c r="J9" s="9" t="n">
        <v>14455547.6</v>
      </c>
      <c r="K9" s="9" t="n">
        <v>23545935.5</v>
      </c>
      <c r="L9" s="20" t="n">
        <v>0</v>
      </c>
      <c r="M9" s="20" t="n">
        <v>0</v>
      </c>
      <c r="N9" s="20" t="n">
        <v>0</v>
      </c>
      <c r="O9" s="20" t="n">
        <v>0</v>
      </c>
      <c r="P9" s="9" t="n">
        <v>23545935.5</v>
      </c>
      <c r="Q9" s="20" t="n">
        <v>0</v>
      </c>
      <c r="R9" s="21" t="inlineStr">
        <is>
          <t>Keep saving</t>
        </is>
      </c>
    </row>
    <row r="10">
      <c r="A10" t="n">
        <v>5</v>
      </c>
      <c r="B10" s="19" t="inlineStr">
        <is>
          <t>No</t>
        </is>
      </c>
      <c r="C10" s="9" t="n">
        <v>8280606.02</v>
      </c>
      <c r="D10" s="9" t="n">
        <v>2228906.66</v>
      </c>
      <c r="E10" s="9" t="n">
        <v>1468933.37</v>
      </c>
      <c r="F10" s="9" t="n">
        <v>759973.29</v>
      </c>
      <c r="G10" t="inlineStr">
        <is>
          <t>—</t>
        </is>
      </c>
      <c r="H10" s="9" t="n">
        <v>3563038.49</v>
      </c>
      <c r="I10" s="9" t="n">
        <v>8096340.52</v>
      </c>
      <c r="J10" s="9" t="n">
        <v>14455547.6</v>
      </c>
      <c r="K10" s="9" t="n">
        <v>23545935.5</v>
      </c>
      <c r="L10" s="20" t="n">
        <v>0</v>
      </c>
      <c r="M10" s="20" t="n">
        <v>0</v>
      </c>
      <c r="N10" s="20" t="n">
        <v>0</v>
      </c>
      <c r="O10" s="20" t="n">
        <v>0</v>
      </c>
      <c r="P10" s="9" t="n">
        <v>23545935.5</v>
      </c>
      <c r="Q10" s="20" t="n">
        <v>0</v>
      </c>
      <c r="R10" s="21" t="inlineStr">
        <is>
          <t>Keep saving</t>
        </is>
      </c>
    </row>
    <row r="11">
      <c r="A11" t="n">
        <v>6</v>
      </c>
      <c r="B11" s="19" t="inlineStr">
        <is>
          <t>No</t>
        </is>
      </c>
      <c r="C11" s="9" t="n">
        <v>8446218.140000001</v>
      </c>
      <c r="D11" s="9" t="n">
        <v>2268984.79</v>
      </c>
      <c r="E11" s="9" t="n">
        <v>1791032.94</v>
      </c>
      <c r="F11" s="9" t="n">
        <v>477951.85</v>
      </c>
      <c r="G11" t="inlineStr">
        <is>
          <t>—</t>
        </is>
      </c>
      <c r="H11" s="9" t="n">
        <v>3563038.49</v>
      </c>
      <c r="I11" s="9" t="n">
        <v>8096340.52</v>
      </c>
      <c r="J11" s="9" t="n">
        <v>14455547.6</v>
      </c>
      <c r="K11" s="9" t="n">
        <v>23545935.5</v>
      </c>
      <c r="L11" s="20" t="n">
        <v>0</v>
      </c>
      <c r="M11" s="20" t="n">
        <v>0</v>
      </c>
      <c r="N11" s="20" t="n">
        <v>0</v>
      </c>
      <c r="O11" s="20" t="n">
        <v>0</v>
      </c>
      <c r="P11" s="9" t="n">
        <v>23545935.5</v>
      </c>
      <c r="Q11" s="20" t="n">
        <v>0</v>
      </c>
      <c r="R11" s="21" t="inlineStr">
        <is>
          <t>Keep saving</t>
        </is>
      </c>
    </row>
    <row r="12">
      <c r="A12" t="n">
        <v>7</v>
      </c>
      <c r="B12" s="19" t="inlineStr">
        <is>
          <t>No</t>
        </is>
      </c>
      <c r="C12" s="9" t="n">
        <v>8615142.51</v>
      </c>
      <c r="D12" s="9" t="n">
        <v>2309864.49</v>
      </c>
      <c r="E12" s="9" t="n">
        <v>2123380.69</v>
      </c>
      <c r="F12" s="9" t="n">
        <v>186483.8</v>
      </c>
      <c r="G12" t="inlineStr">
        <is>
          <t>—</t>
        </is>
      </c>
      <c r="H12" s="9" t="n">
        <v>3563038.49</v>
      </c>
      <c r="I12" s="9" t="n">
        <v>8096340.52</v>
      </c>
      <c r="J12" s="9" t="n">
        <v>14455547.6</v>
      </c>
      <c r="K12" s="9" t="n">
        <v>23545935.5</v>
      </c>
      <c r="L12" s="20" t="n">
        <v>0</v>
      </c>
      <c r="M12" s="20" t="n">
        <v>0</v>
      </c>
      <c r="N12" s="20" t="n">
        <v>0</v>
      </c>
      <c r="O12" s="20" t="n">
        <v>0</v>
      </c>
      <c r="P12" s="9" t="n">
        <v>23545935.5</v>
      </c>
      <c r="Q12" s="20" t="n">
        <v>0</v>
      </c>
      <c r="R12" s="21" t="inlineStr">
        <is>
          <t>Keep saving</t>
        </is>
      </c>
    </row>
    <row r="13">
      <c r="A13" t="n">
        <v>8</v>
      </c>
      <c r="B13" s="22" t="inlineStr">
        <is>
          <t>Yes</t>
        </is>
      </c>
      <c r="C13" s="9" t="n">
        <v>8787445.359999999</v>
      </c>
      <c r="D13" s="9" t="n">
        <v>2351561.78</v>
      </c>
      <c r="E13" s="9" t="n">
        <v>2466353.59</v>
      </c>
      <c r="F13" s="9" t="n">
        <v>0</v>
      </c>
      <c r="G13" s="9" t="n">
        <v>375990</v>
      </c>
      <c r="H13" s="9" t="n">
        <v>2655608.67</v>
      </c>
      <c r="I13" s="9" t="n">
        <v>5518050.36</v>
      </c>
      <c r="J13" s="9" t="n">
        <v>9099941.52</v>
      </c>
      <c r="K13" s="9" t="n">
        <v>13624405.19</v>
      </c>
      <c r="L13" s="20" t="n">
        <v>-907429.8199999999</v>
      </c>
      <c r="M13" s="20" t="n">
        <v>-2578290.16</v>
      </c>
      <c r="N13" s="20" t="n">
        <v>-5355606.08</v>
      </c>
      <c r="O13" s="20" t="n">
        <v>-9921530.310000001</v>
      </c>
      <c r="P13" s="9" t="n">
        <v>13624405.19</v>
      </c>
      <c r="Q13" s="20" t="n">
        <v>-9921530.310000001</v>
      </c>
      <c r="R13" s="19" t="inlineStr">
        <is>
          <t>Renting builds more wealth</t>
        </is>
      </c>
    </row>
    <row r="14">
      <c r="A14" t="n">
        <v>9</v>
      </c>
      <c r="B14" s="22" t="inlineStr">
        <is>
          <t>Yes</t>
        </is>
      </c>
      <c r="C14" s="9" t="n">
        <v>8963194.26</v>
      </c>
      <c r="D14" s="9" t="n">
        <v>2394093.01</v>
      </c>
      <c r="E14" s="9" t="n">
        <v>2820344.67</v>
      </c>
      <c r="F14" s="9" t="n">
        <v>0</v>
      </c>
      <c r="G14" s="9" t="n">
        <v>383459</v>
      </c>
      <c r="H14" s="9" t="n">
        <v>2772290.45</v>
      </c>
      <c r="I14" s="9" t="n">
        <v>5717359.68</v>
      </c>
      <c r="J14" s="9" t="n">
        <v>9440390.640000001</v>
      </c>
      <c r="K14" s="9" t="n">
        <v>14205941.45</v>
      </c>
      <c r="L14" s="20" t="n">
        <v>-790748.04</v>
      </c>
      <c r="M14" s="20" t="n">
        <v>-2378980.84</v>
      </c>
      <c r="N14" s="20" t="n">
        <v>-5015156.96</v>
      </c>
      <c r="O14" s="20" t="n">
        <v>-9339994.050000001</v>
      </c>
      <c r="P14" s="9" t="n">
        <v>14205941.45</v>
      </c>
      <c r="Q14" s="20" t="n">
        <v>-9339994.050000001</v>
      </c>
      <c r="R14" s="19" t="inlineStr">
        <is>
          <t>Renting builds more wealth</t>
        </is>
      </c>
    </row>
    <row r="15">
      <c r="A15" t="n">
        <v>10</v>
      </c>
      <c r="B15" s="22" t="inlineStr">
        <is>
          <t>Yes</t>
        </is>
      </c>
      <c r="C15" s="9" t="n">
        <v>9142458.15</v>
      </c>
      <c r="D15" s="9" t="n">
        <v>2447446.94</v>
      </c>
      <c r="E15" s="9" t="n">
        <v>3185763.8</v>
      </c>
      <c r="F15" s="9" t="n">
        <v>0</v>
      </c>
      <c r="G15" s="9" t="n">
        <v>391079</v>
      </c>
      <c r="H15" s="9" t="n">
        <v>2808230.72</v>
      </c>
      <c r="I15" s="9" t="n">
        <v>5888741.94</v>
      </c>
      <c r="J15" s="9" t="n">
        <v>9733136.300000001</v>
      </c>
      <c r="K15" s="9" t="n">
        <v>14705993.33</v>
      </c>
      <c r="L15" s="20" t="n">
        <v>-754807.77</v>
      </c>
      <c r="M15" s="20" t="n">
        <v>-2207598.58</v>
      </c>
      <c r="N15" s="20" t="n">
        <v>-4722411.3</v>
      </c>
      <c r="O15" s="20" t="n">
        <v>-8839942.17</v>
      </c>
      <c r="P15" s="9" t="n">
        <v>14705993.33</v>
      </c>
      <c r="Q15" s="20" t="n">
        <v>-8839942.17</v>
      </c>
      <c r="R15" s="19" t="inlineStr">
        <is>
          <t>Renting builds more wealth</t>
        </is>
      </c>
    </row>
    <row r="16">
      <c r="A16" t="n">
        <v>11</v>
      </c>
      <c r="B16" s="22" t="inlineStr">
        <is>
          <t>Yes</t>
        </is>
      </c>
      <c r="C16" s="9" t="n">
        <v>9325307.310000001</v>
      </c>
      <c r="D16" s="9" t="n">
        <v>2504495.88</v>
      </c>
      <c r="E16" s="9" t="n">
        <v>3563038.49</v>
      </c>
      <c r="F16" s="9" t="n">
        <v>0</v>
      </c>
      <c r="G16" s="9" t="n">
        <v>398850</v>
      </c>
      <c r="H16" s="9" t="n">
        <v>3563038.49</v>
      </c>
      <c r="I16" s="9" t="n">
        <v>6047647.87</v>
      </c>
      <c r="J16" s="9" t="n">
        <v>10004570.58</v>
      </c>
      <c r="K16" s="9" t="n">
        <v>15169642.29</v>
      </c>
      <c r="L16" s="20" t="n">
        <v>0</v>
      </c>
      <c r="M16" s="20" t="n">
        <v>-2048692.65</v>
      </c>
      <c r="N16" s="20" t="n">
        <v>-4450977.02</v>
      </c>
      <c r="O16" s="20" t="n">
        <v>-8376293.21</v>
      </c>
      <c r="P16" s="9" t="n">
        <v>15169642.29</v>
      </c>
      <c r="Q16" s="20" t="n">
        <v>-8376293.21</v>
      </c>
      <c r="R16" s="19" t="inlineStr">
        <is>
          <t>Renting builds more wealth</t>
        </is>
      </c>
    </row>
    <row r="17">
      <c r="A17" t="n">
        <v>12</v>
      </c>
      <c r="B17" s="22" t="inlineStr">
        <is>
          <t>Yes</t>
        </is>
      </c>
      <c r="C17" s="9" t="n">
        <v>9511813.460000001</v>
      </c>
      <c r="D17" s="9" t="n">
        <v>2562685.8</v>
      </c>
      <c r="E17" s="9" t="n">
        <v>3952614.73</v>
      </c>
      <c r="F17" s="9" t="n">
        <v>0</v>
      </c>
      <c r="G17" s="9" t="n">
        <v>406777</v>
      </c>
      <c r="H17" s="9" t="n">
        <v>3563038.49</v>
      </c>
      <c r="I17" s="9" t="n">
        <v>6199267.54</v>
      </c>
      <c r="J17" s="9" t="n">
        <v>10263558.88</v>
      </c>
      <c r="K17" s="9" t="n">
        <v>15612031.72</v>
      </c>
      <c r="L17" s="20" t="n">
        <v>0</v>
      </c>
      <c r="M17" s="20" t="n">
        <v>-1897072.98</v>
      </c>
      <c r="N17" s="20" t="n">
        <v>-4191988.72</v>
      </c>
      <c r="O17" s="20" t="n">
        <v>-7933903.78</v>
      </c>
      <c r="P17" s="9" t="n">
        <v>15612031.72</v>
      </c>
      <c r="Q17" s="20" t="n">
        <v>-7933903.78</v>
      </c>
      <c r="R17" s="19" t="inlineStr">
        <is>
          <t>Renting builds more wealth</t>
        </is>
      </c>
    </row>
    <row r="18">
      <c r="A18" t="n">
        <v>13</v>
      </c>
      <c r="B18" s="22" t="inlineStr">
        <is>
          <t>Yes</t>
        </is>
      </c>
      <c r="C18" s="9" t="n">
        <v>9702049.73</v>
      </c>
      <c r="D18" s="9" t="n">
        <v>2622039.52</v>
      </c>
      <c r="E18" s="9" t="n">
        <v>4354957.89</v>
      </c>
      <c r="F18" s="9" t="n">
        <v>0</v>
      </c>
      <c r="G18" s="9" t="n">
        <v>414863</v>
      </c>
      <c r="H18" s="9" t="n">
        <v>3563038.49</v>
      </c>
      <c r="I18" s="9" t="n">
        <v>6343882.87</v>
      </c>
      <c r="J18" s="9" t="n">
        <v>10510582.75</v>
      </c>
      <c r="K18" s="9" t="n">
        <v>16033984.18</v>
      </c>
      <c r="L18" s="20" t="n">
        <v>0</v>
      </c>
      <c r="M18" s="20" t="n">
        <v>-1752457.65</v>
      </c>
      <c r="N18" s="20" t="n">
        <v>-3944964.85</v>
      </c>
      <c r="O18" s="20" t="n">
        <v>-7511951.32</v>
      </c>
      <c r="P18" s="9" t="n">
        <v>16033984.18</v>
      </c>
      <c r="Q18" s="20" t="n">
        <v>-7511951.32</v>
      </c>
      <c r="R18" s="19" t="inlineStr">
        <is>
          <t>Renting builds more wealth</t>
        </is>
      </c>
    </row>
    <row r="19">
      <c r="A19" t="n">
        <v>14</v>
      </c>
      <c r="B19" s="22" t="inlineStr">
        <is>
          <t>Yes</t>
        </is>
      </c>
      <c r="C19" s="9" t="n">
        <v>9896090.720000001</v>
      </c>
      <c r="D19" s="9" t="n">
        <v>2682580.31</v>
      </c>
      <c r="E19" s="9" t="n">
        <v>4770553.66</v>
      </c>
      <c r="F19" s="9" t="n">
        <v>0</v>
      </c>
      <c r="G19" s="9" t="n">
        <v>423110</v>
      </c>
      <c r="H19" s="9" t="n">
        <v>3563038.49</v>
      </c>
      <c r="I19" s="9" t="n">
        <v>6481766.17</v>
      </c>
      <c r="J19" s="9" t="n">
        <v>10746107.35</v>
      </c>
      <c r="K19" s="9" t="n">
        <v>16436294.21</v>
      </c>
      <c r="L19" s="20" t="n">
        <v>0</v>
      </c>
      <c r="M19" s="20" t="n">
        <v>-1614574.35</v>
      </c>
      <c r="N19" s="20" t="n">
        <v>-3709440.25</v>
      </c>
      <c r="O19" s="20" t="n">
        <v>-7109641.29</v>
      </c>
      <c r="P19" s="9" t="n">
        <v>16436294.21</v>
      </c>
      <c r="Q19" s="20" t="n">
        <v>-7109641.29</v>
      </c>
      <c r="R19" s="19" t="inlineStr">
        <is>
          <t>Renting builds more wealth</t>
        </is>
      </c>
    </row>
    <row r="20">
      <c r="A20" t="n">
        <v>15</v>
      </c>
      <c r="B20" s="22" t="inlineStr">
        <is>
          <t>Yes</t>
        </is>
      </c>
      <c r="C20" s="9" t="n">
        <v>10094012.54</v>
      </c>
      <c r="D20" s="9" t="n">
        <v>2743456.13</v>
      </c>
      <c r="E20" s="9" t="n">
        <v>5199909.02</v>
      </c>
      <c r="F20" s="9" t="n">
        <v>0</v>
      </c>
      <c r="G20" s="9" t="n">
        <v>431522</v>
      </c>
      <c r="H20" s="9" t="n">
        <v>3563038.49</v>
      </c>
      <c r="I20" s="9" t="n">
        <v>6614388</v>
      </c>
      <c r="J20" s="9" t="n">
        <v>10972644.58</v>
      </c>
      <c r="K20" s="9" t="n">
        <v>16823252.54</v>
      </c>
      <c r="L20" s="20" t="n">
        <v>0</v>
      </c>
      <c r="M20" s="20" t="n">
        <v>-1481952.52</v>
      </c>
      <c r="N20" s="20" t="n">
        <v>-3482903.02</v>
      </c>
      <c r="O20" s="20" t="n">
        <v>-6722682.96</v>
      </c>
      <c r="P20" s="9" t="n">
        <v>16823252.54</v>
      </c>
      <c r="Q20" s="20" t="n">
        <v>-6722682.96</v>
      </c>
      <c r="R20" s="19" t="inlineStr">
        <is>
          <t>Renting builds more wealth</t>
        </is>
      </c>
    </row>
    <row r="21">
      <c r="A21" t="inlineStr">
        <is>
          <t>Never (rent forever)</t>
        </is>
      </c>
      <c r="B21" t="inlineStr">
        <is>
          <t>N/A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s="9" t="n">
        <v>22000</v>
      </c>
      <c r="H21" s="9" t="n">
        <v>3563038.49</v>
      </c>
      <c r="I21" s="9" t="n">
        <v>8096340.52</v>
      </c>
      <c r="J21" s="9" t="n">
        <v>14455547.6</v>
      </c>
      <c r="K21" s="9" t="n">
        <v>23545935.5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23545935.5</v>
      </c>
      <c r="Q21" s="9" t="n">
        <v>0</v>
      </c>
      <c r="R21" s="23" t="inlineStr">
        <is>
          <t>Baseline</t>
        </is>
      </c>
    </row>
    <row r="23">
      <c r="A23" s="4" t="inlineStr">
        <is>
          <t>* Year-1 monthly housing if you buy that year: mortgage + mgmt + rates/gov rent + maintenance allowance.</t>
        </is>
      </c>
    </row>
    <row r="25">
      <c r="A25" s="3" t="inlineStr">
        <is>
          <t>How to read this sheet</t>
        </is>
      </c>
    </row>
    <row r="26" ht="55" customHeight="1">
      <c r="A26" s="5" t="inlineStr">
        <is>
          <t>1) Scan Affordable? for the first Yes — soonest feasible purchase. 2) Check Adv vs Rent at your horizon. 3) Earlier buy = housing security sooner, capital locked earlier; later buy = higher price but larger invested nest egg. 4) Confirm on Sensitivity before deciding.</t>
        </is>
      </c>
    </row>
  </sheetData>
  <mergeCells count="3">
    <mergeCell ref="A2:L2"/>
    <mergeCell ref="A26:H2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Year-by-year detail — Rent forever vs Buy in year 8</t>
        </is>
      </c>
    </row>
    <row r="2">
      <c r="A2" s="4" t="inlineStr">
        <is>
          <t>Change Selected buy year in Assumptions / DEFAULTS, then re-run the builder to refresh.</t>
        </is>
      </c>
    </row>
    <row r="4">
      <c r="A4" s="14" t="inlineStr">
        <is>
          <t>Year</t>
        </is>
      </c>
      <c r="B4" s="14" t="inlineStr">
        <is>
          <t>Event (buy path)</t>
        </is>
      </c>
      <c r="C4" s="14" t="inlineStr">
        <is>
          <t>Property price</t>
        </is>
      </c>
      <c r="D4" s="14" t="inlineStr">
        <is>
          <t>Rent: annual housing</t>
        </is>
      </c>
      <c r="E4" s="14" t="inlineStr">
        <is>
          <t>Rent: liquid</t>
        </is>
      </c>
      <c r="F4" s="14" t="inlineStr">
        <is>
          <t>Rent: net worth</t>
        </is>
      </c>
      <c r="G4" s="14" t="inlineStr">
        <is>
          <t>Buy: owned?</t>
        </is>
      </c>
      <c r="H4" s="14" t="inlineStr">
        <is>
          <t>Buy: mortgage bal</t>
        </is>
      </c>
      <c r="I4" s="14" t="inlineStr">
        <is>
          <t>Buy: equity</t>
        </is>
      </c>
      <c r="J4" s="14" t="inlineStr">
        <is>
          <t>Buy: annual housing</t>
        </is>
      </c>
      <c r="K4" s="14" t="inlineStr">
        <is>
          <t>Buy: liquid</t>
        </is>
      </c>
      <c r="L4" s="14" t="inlineStr">
        <is>
          <t>Buy: net worth</t>
        </is>
      </c>
      <c r="M4" s="14" t="inlineStr">
        <is>
          <t>Advantage (Buy−Rent)</t>
        </is>
      </c>
      <c r="N4" s="14" t="inlineStr">
        <is>
          <t>Cumul. housing Buy−Rent</t>
        </is>
      </c>
    </row>
    <row r="5">
      <c r="A5" t="n">
        <v>0</v>
      </c>
      <c r="B5" t="inlineStr"/>
      <c r="C5" s="9" t="n">
        <v>7500000</v>
      </c>
      <c r="D5" s="9" t="n">
        <v>264000</v>
      </c>
      <c r="E5" s="9" t="n">
        <v>276000</v>
      </c>
      <c r="F5" s="9" t="n">
        <v>276000</v>
      </c>
      <c r="G5" t="inlineStr">
        <is>
          <t>No</t>
        </is>
      </c>
      <c r="H5" s="9" t="n">
        <v>0</v>
      </c>
      <c r="I5" s="9" t="n">
        <v>0</v>
      </c>
      <c r="J5" s="9" t="n">
        <v>264000</v>
      </c>
      <c r="K5" s="9" t="n">
        <v>276000</v>
      </c>
      <c r="L5" s="9" t="n">
        <v>276000</v>
      </c>
      <c r="M5" s="24" t="n">
        <v>0</v>
      </c>
      <c r="N5" s="9" t="n">
        <v>0</v>
      </c>
    </row>
    <row r="6">
      <c r="A6" t="n">
        <v>1</v>
      </c>
      <c r="B6" t="inlineStr"/>
      <c r="C6" s="9" t="n">
        <v>7650000</v>
      </c>
      <c r="D6" s="9" t="n">
        <v>270600</v>
      </c>
      <c r="E6" s="9" t="n">
        <v>560580</v>
      </c>
      <c r="F6" s="9" t="n">
        <v>560580</v>
      </c>
      <c r="G6" t="inlineStr">
        <is>
          <t>No</t>
        </is>
      </c>
      <c r="H6" s="9" t="n">
        <v>0</v>
      </c>
      <c r="I6" s="9" t="n">
        <v>0</v>
      </c>
      <c r="J6" s="9" t="n">
        <v>270600</v>
      </c>
      <c r="K6" s="9" t="n">
        <v>560580</v>
      </c>
      <c r="L6" s="9" t="n">
        <v>560580</v>
      </c>
      <c r="M6" s="24" t="n">
        <v>0</v>
      </c>
      <c r="N6" s="9" t="n">
        <v>0</v>
      </c>
    </row>
    <row r="7">
      <c r="A7" t="n">
        <v>2</v>
      </c>
      <c r="B7" t="inlineStr"/>
      <c r="C7" s="9" t="n">
        <v>7803000</v>
      </c>
      <c r="D7" s="9" t="n">
        <v>277365</v>
      </c>
      <c r="E7" s="9" t="n">
        <v>854046.9</v>
      </c>
      <c r="F7" s="9" t="n">
        <v>854046.9</v>
      </c>
      <c r="G7" t="inlineStr">
        <is>
          <t>No</t>
        </is>
      </c>
      <c r="H7" s="9" t="n">
        <v>0</v>
      </c>
      <c r="I7" s="9" t="n">
        <v>0</v>
      </c>
      <c r="J7" s="9" t="n">
        <v>277365</v>
      </c>
      <c r="K7" s="9" t="n">
        <v>854046.9</v>
      </c>
      <c r="L7" s="9" t="n">
        <v>854046.9</v>
      </c>
      <c r="M7" s="24" t="n">
        <v>0</v>
      </c>
      <c r="N7" s="9" t="n">
        <v>0</v>
      </c>
    </row>
    <row r="8">
      <c r="A8" t="n">
        <v>3</v>
      </c>
      <c r="B8" t="inlineStr"/>
      <c r="C8" s="9" t="n">
        <v>7959060</v>
      </c>
      <c r="D8" s="9" t="n">
        <v>284299.12</v>
      </c>
      <c r="E8" s="9" t="n">
        <v>1156720.35</v>
      </c>
      <c r="F8" s="9" t="n">
        <v>1156720.35</v>
      </c>
      <c r="G8" t="inlineStr">
        <is>
          <t>No</t>
        </is>
      </c>
      <c r="H8" s="9" t="n">
        <v>0</v>
      </c>
      <c r="I8" s="9" t="n">
        <v>0</v>
      </c>
      <c r="J8" s="9" t="n">
        <v>284299.12</v>
      </c>
      <c r="K8" s="9" t="n">
        <v>1156720.35</v>
      </c>
      <c r="L8" s="9" t="n">
        <v>1156720.35</v>
      </c>
      <c r="M8" s="24" t="n">
        <v>0</v>
      </c>
      <c r="N8" s="9" t="n">
        <v>0</v>
      </c>
    </row>
    <row r="9">
      <c r="A9" t="n">
        <v>4</v>
      </c>
      <c r="B9" t="inlineStr"/>
      <c r="C9" s="9" t="n">
        <v>8118241.2</v>
      </c>
      <c r="D9" s="9" t="n">
        <v>291406.6</v>
      </c>
      <c r="E9" s="9" t="n">
        <v>1468933.37</v>
      </c>
      <c r="F9" s="9" t="n">
        <v>1468933.37</v>
      </c>
      <c r="G9" t="inlineStr">
        <is>
          <t>No</t>
        </is>
      </c>
      <c r="H9" s="9" t="n">
        <v>0</v>
      </c>
      <c r="I9" s="9" t="n">
        <v>0</v>
      </c>
      <c r="J9" s="9" t="n">
        <v>291406.6</v>
      </c>
      <c r="K9" s="9" t="n">
        <v>1468933.37</v>
      </c>
      <c r="L9" s="9" t="n">
        <v>1468933.37</v>
      </c>
      <c r="M9" s="24" t="n">
        <v>0</v>
      </c>
      <c r="N9" s="9" t="n">
        <v>0</v>
      </c>
    </row>
    <row r="10">
      <c r="A10" t="n">
        <v>5</v>
      </c>
      <c r="B10" t="inlineStr"/>
      <c r="C10" s="9" t="n">
        <v>8280606.02</v>
      </c>
      <c r="D10" s="9" t="n">
        <v>298691.77</v>
      </c>
      <c r="E10" s="9" t="n">
        <v>1791032.94</v>
      </c>
      <c r="F10" s="9" t="n">
        <v>1791032.94</v>
      </c>
      <c r="G10" t="inlineStr">
        <is>
          <t>No</t>
        </is>
      </c>
      <c r="H10" s="9" t="n">
        <v>0</v>
      </c>
      <c r="I10" s="9" t="n">
        <v>0</v>
      </c>
      <c r="J10" s="9" t="n">
        <v>298691.77</v>
      </c>
      <c r="K10" s="9" t="n">
        <v>1791032.94</v>
      </c>
      <c r="L10" s="9" t="n">
        <v>1791032.94</v>
      </c>
      <c r="M10" s="24" t="n">
        <v>0</v>
      </c>
      <c r="N10" s="9" t="n">
        <v>0</v>
      </c>
    </row>
    <row r="11">
      <c r="A11" t="n">
        <v>6</v>
      </c>
      <c r="B11" t="inlineStr"/>
      <c r="C11" s="9" t="n">
        <v>8446218.140000001</v>
      </c>
      <c r="D11" s="9" t="n">
        <v>306159.06</v>
      </c>
      <c r="E11" s="9" t="n">
        <v>2123380.69</v>
      </c>
      <c r="F11" s="9" t="n">
        <v>2123380.69</v>
      </c>
      <c r="G11" t="inlineStr">
        <is>
          <t>No</t>
        </is>
      </c>
      <c r="H11" s="9" t="n">
        <v>0</v>
      </c>
      <c r="I11" s="9" t="n">
        <v>0</v>
      </c>
      <c r="J11" s="9" t="n">
        <v>306159.06</v>
      </c>
      <c r="K11" s="9" t="n">
        <v>2123380.69</v>
      </c>
      <c r="L11" s="9" t="n">
        <v>2123380.69</v>
      </c>
      <c r="M11" s="24" t="n">
        <v>0</v>
      </c>
      <c r="N11" s="9" t="n">
        <v>0</v>
      </c>
    </row>
    <row r="12">
      <c r="A12" t="n">
        <v>7</v>
      </c>
      <c r="B12" t="inlineStr"/>
      <c r="C12" s="9" t="n">
        <v>8615142.51</v>
      </c>
      <c r="D12" s="9" t="n">
        <v>313813.04</v>
      </c>
      <c r="E12" s="9" t="n">
        <v>2466353.59</v>
      </c>
      <c r="F12" s="9" t="n">
        <v>2466353.59</v>
      </c>
      <c r="G12" t="inlineStr">
        <is>
          <t>No</t>
        </is>
      </c>
      <c r="H12" s="9" t="n">
        <v>0</v>
      </c>
      <c r="I12" s="9" t="n">
        <v>0</v>
      </c>
      <c r="J12" s="9" t="n">
        <v>313813.04</v>
      </c>
      <c r="K12" s="9" t="n">
        <v>2466353.59</v>
      </c>
      <c r="L12" s="9" t="n">
        <v>2466353.59</v>
      </c>
      <c r="M12" s="24" t="n">
        <v>0</v>
      </c>
      <c r="N12" s="9" t="n">
        <v>0</v>
      </c>
    </row>
    <row r="13">
      <c r="A13" t="n">
        <v>8</v>
      </c>
      <c r="B13" t="inlineStr">
        <is>
          <t>BUY</t>
        </is>
      </c>
      <c r="C13" s="9" t="n">
        <v>8787445.359999999</v>
      </c>
      <c r="D13" s="9" t="n">
        <v>321658.36</v>
      </c>
      <c r="E13" s="9" t="n">
        <v>2820344.67</v>
      </c>
      <c r="F13" s="9" t="n">
        <v>2820344.67</v>
      </c>
      <c r="G13" t="inlineStr">
        <is>
          <t>Yes</t>
        </is>
      </c>
      <c r="H13" s="9" t="n">
        <v>2838946.24</v>
      </c>
      <c r="I13" s="9" t="n">
        <v>5948499.12</v>
      </c>
      <c r="J13" s="9" t="n">
        <v>4517024.27</v>
      </c>
      <c r="K13" s="9" t="n">
        <v>-3855918.91</v>
      </c>
      <c r="L13" s="9" t="n">
        <v>2092580.21</v>
      </c>
      <c r="M13" s="20" t="n">
        <v>-727764.46</v>
      </c>
      <c r="N13" s="9" t="n">
        <v>4195365.91</v>
      </c>
    </row>
    <row r="14">
      <c r="A14" t="n">
        <v>9</v>
      </c>
      <c r="B14" t="inlineStr"/>
      <c r="C14" s="9" t="n">
        <v>8963194.26</v>
      </c>
      <c r="D14" s="9" t="n">
        <v>329699.82</v>
      </c>
      <c r="E14" s="9" t="n">
        <v>3185763.8</v>
      </c>
      <c r="F14" s="9" t="n">
        <v>3185763.8</v>
      </c>
      <c r="G14" t="inlineStr">
        <is>
          <t>Yes</t>
        </is>
      </c>
      <c r="H14" s="9" t="n">
        <v>0</v>
      </c>
      <c r="I14" s="9" t="n">
        <v>8963194.26</v>
      </c>
      <c r="J14" s="9" t="n">
        <v>3032869.25</v>
      </c>
      <c r="K14" s="9" t="n">
        <v>-6560863.7</v>
      </c>
      <c r="L14" s="9" t="n">
        <v>2402330.56</v>
      </c>
      <c r="M14" s="20" t="n">
        <v>-783433.2399999998</v>
      </c>
      <c r="N14" s="9" t="n">
        <v>6898535.34</v>
      </c>
    </row>
    <row r="15">
      <c r="A15" t="n">
        <v>10</v>
      </c>
      <c r="B15" t="inlineStr"/>
      <c r="C15" s="9" t="n">
        <v>9142458.15</v>
      </c>
      <c r="D15" s="9" t="n">
        <v>337942.32</v>
      </c>
      <c r="E15" s="9" t="n">
        <v>3563038.49</v>
      </c>
      <c r="F15" s="9" t="n">
        <v>3563038.49</v>
      </c>
      <c r="G15" t="inlineStr">
        <is>
          <t>Yes</t>
        </is>
      </c>
      <c r="H15" s="9" t="n">
        <v>0</v>
      </c>
      <c r="I15" s="9" t="n">
        <v>9142458.15</v>
      </c>
      <c r="J15" s="9" t="n">
        <v>105138.27</v>
      </c>
      <c r="K15" s="9" t="n">
        <v>-6486849.48</v>
      </c>
      <c r="L15" s="9" t="n">
        <v>2655608.67</v>
      </c>
      <c r="M15" s="20" t="n">
        <v>-907429.8200000003</v>
      </c>
      <c r="N15" s="9" t="n">
        <v>6665731.29</v>
      </c>
    </row>
    <row r="16">
      <c r="A16" t="n">
        <v>11</v>
      </c>
      <c r="B16" t="inlineStr"/>
      <c r="C16" s="9" t="n">
        <v>9325307.310000001</v>
      </c>
      <c r="D16" s="9" t="n">
        <v>346390.88</v>
      </c>
      <c r="E16" s="9" t="n">
        <v>3952614.73</v>
      </c>
      <c r="F16" s="9" t="n">
        <v>3952614.73</v>
      </c>
      <c r="G16" t="inlineStr">
        <is>
          <t>Yes</t>
        </is>
      </c>
      <c r="H16" s="9" t="n">
        <v>0</v>
      </c>
      <c r="I16" s="9" t="n">
        <v>9325307.310000001</v>
      </c>
      <c r="J16" s="9" t="n">
        <v>107241.03</v>
      </c>
      <c r="K16" s="9" t="n">
        <v>-6410867.23</v>
      </c>
      <c r="L16" s="9" t="n">
        <v>2914440.08</v>
      </c>
      <c r="M16" s="20" t="n">
        <v>-1038174.65</v>
      </c>
      <c r="N16" s="9" t="n">
        <v>6426581.44</v>
      </c>
    </row>
    <row r="17">
      <c r="A17" t="n">
        <v>12</v>
      </c>
      <c r="B17" t="inlineStr"/>
      <c r="C17" s="9" t="n">
        <v>9511813.460000001</v>
      </c>
      <c r="D17" s="9" t="n">
        <v>355050.65</v>
      </c>
      <c r="E17" s="9" t="n">
        <v>4354957.89</v>
      </c>
      <c r="F17" s="9" t="n">
        <v>4354957.89</v>
      </c>
      <c r="G17" t="inlineStr">
        <is>
          <t>Yes</t>
        </is>
      </c>
      <c r="H17" s="9" t="n">
        <v>0</v>
      </c>
      <c r="I17" s="9" t="n">
        <v>9511813.460000001</v>
      </c>
      <c r="J17" s="9" t="n">
        <v>109385.85</v>
      </c>
      <c r="K17" s="9" t="n">
        <v>-6332850.78</v>
      </c>
      <c r="L17" s="9" t="n">
        <v>3178962.68</v>
      </c>
      <c r="M17" s="20" t="n">
        <v>-1175995.209999999</v>
      </c>
      <c r="N17" s="9" t="n">
        <v>6180916.64</v>
      </c>
    </row>
    <row r="18">
      <c r="A18" t="n">
        <v>13</v>
      </c>
      <c r="B18" t="inlineStr"/>
      <c r="C18" s="9" t="n">
        <v>9702049.73</v>
      </c>
      <c r="D18" s="9" t="n">
        <v>363926.92</v>
      </c>
      <c r="E18" s="9" t="n">
        <v>4770553.66</v>
      </c>
      <c r="F18" s="9" t="n">
        <v>4770553.66</v>
      </c>
      <c r="G18" t="inlineStr">
        <is>
          <t>Yes</t>
        </is>
      </c>
      <c r="H18" s="9" t="n">
        <v>0</v>
      </c>
      <c r="I18" s="9" t="n">
        <v>9702049.73</v>
      </c>
      <c r="J18" s="9" t="n">
        <v>111573.57</v>
      </c>
      <c r="K18" s="9" t="n">
        <v>-6252731.15</v>
      </c>
      <c r="L18" s="9" t="n">
        <v>3449318.58</v>
      </c>
      <c r="M18" s="20" t="n">
        <v>-1321235.08</v>
      </c>
      <c r="N18" s="9" t="n">
        <v>5928563.29</v>
      </c>
    </row>
    <row r="19">
      <c r="A19" t="n">
        <v>14</v>
      </c>
      <c r="B19" t="inlineStr"/>
      <c r="C19" s="9" t="n">
        <v>9896090.720000001</v>
      </c>
      <c r="D19" s="9" t="n">
        <v>373025.09</v>
      </c>
      <c r="E19" s="9" t="n">
        <v>5199909.02</v>
      </c>
      <c r="F19" s="9" t="n">
        <v>5199909.02</v>
      </c>
      <c r="G19" t="inlineStr">
        <is>
          <t>Yes</t>
        </is>
      </c>
      <c r="H19" s="9" t="n">
        <v>0</v>
      </c>
      <c r="I19" s="9" t="n">
        <v>9896090.720000001</v>
      </c>
      <c r="J19" s="9" t="n">
        <v>113805.04</v>
      </c>
      <c r="K19" s="9" t="n">
        <v>-6170436.41</v>
      </c>
      <c r="L19" s="9" t="n">
        <v>3725654.32</v>
      </c>
      <c r="M19" s="20" t="n">
        <v>-1474254.7</v>
      </c>
      <c r="N19" s="9" t="n">
        <v>5669343.24</v>
      </c>
    </row>
    <row r="20">
      <c r="A20" t="n">
        <v>15</v>
      </c>
      <c r="B20" t="inlineStr"/>
      <c r="C20" s="9" t="n">
        <v>10094012.54</v>
      </c>
      <c r="D20" s="9" t="n">
        <v>382350.72</v>
      </c>
      <c r="E20" s="9" t="n">
        <v>5643553.3</v>
      </c>
      <c r="F20" s="9" t="n">
        <v>5643553.3</v>
      </c>
      <c r="G20" t="inlineStr">
        <is>
          <t>Yes</t>
        </is>
      </c>
      <c r="H20" s="9" t="n">
        <v>0</v>
      </c>
      <c r="I20" s="9" t="n">
        <v>10094012.54</v>
      </c>
      <c r="J20" s="9" t="n">
        <v>116081.14</v>
      </c>
      <c r="K20" s="9" t="n">
        <v>-6085891.55</v>
      </c>
      <c r="L20" s="9" t="n">
        <v>4008120.99</v>
      </c>
      <c r="M20" s="20" t="n">
        <v>-1635432.31</v>
      </c>
      <c r="N20" s="9" t="n">
        <v>5403073.66</v>
      </c>
    </row>
    <row r="21">
      <c r="A21" t="n">
        <v>16</v>
      </c>
      <c r="B21" t="inlineStr"/>
      <c r="C21" s="9" t="n">
        <v>10295892.79</v>
      </c>
      <c r="D21" s="9" t="n">
        <v>391909.48</v>
      </c>
      <c r="E21" s="9" t="n">
        <v>6102039.25</v>
      </c>
      <c r="F21" s="9" t="n">
        <v>6102039.25</v>
      </c>
      <c r="G21" t="inlineStr">
        <is>
          <t>Yes</t>
        </is>
      </c>
      <c r="H21" s="9" t="n">
        <v>0</v>
      </c>
      <c r="I21" s="9" t="n">
        <v>10295892.79</v>
      </c>
      <c r="J21" s="9" t="n">
        <v>118402.77</v>
      </c>
      <c r="K21" s="9" t="n">
        <v>-5999018.35</v>
      </c>
      <c r="L21" s="9" t="n">
        <v>4296874.43</v>
      </c>
      <c r="M21" s="20" t="n">
        <v>-1805164.82</v>
      </c>
      <c r="N21" s="9" t="n">
        <v>5129566.95</v>
      </c>
    </row>
    <row r="22">
      <c r="A22" t="n">
        <v>17</v>
      </c>
      <c r="B22" t="inlineStr"/>
      <c r="C22" s="9" t="n">
        <v>10501810.64</v>
      </c>
      <c r="D22" s="9" t="n">
        <v>401707.22</v>
      </c>
      <c r="E22" s="9" t="n">
        <v>6575944.19</v>
      </c>
      <c r="F22" s="9" t="n">
        <v>6575944.19</v>
      </c>
      <c r="G22" t="inlineStr">
        <is>
          <t>Yes</t>
        </is>
      </c>
      <c r="H22" s="9" t="n">
        <v>0</v>
      </c>
      <c r="I22" s="9" t="n">
        <v>10501810.64</v>
      </c>
      <c r="J22" s="9" t="n">
        <v>120770.82</v>
      </c>
      <c r="K22" s="9" t="n">
        <v>-5909735.19</v>
      </c>
      <c r="L22" s="9" t="n">
        <v>4592075.46</v>
      </c>
      <c r="M22" s="20" t="n">
        <v>-1983868.73</v>
      </c>
      <c r="N22" s="9" t="n">
        <v>4848630.55</v>
      </c>
    </row>
    <row r="23">
      <c r="A23" t="n">
        <v>18</v>
      </c>
      <c r="B23" t="inlineStr"/>
      <c r="C23" s="9" t="n">
        <v>10711846.86</v>
      </c>
      <c r="D23" s="9" t="n">
        <v>411749.9</v>
      </c>
      <c r="E23" s="9" t="n">
        <v>7065871.22</v>
      </c>
      <c r="F23" s="9" t="n">
        <v>7065871.22</v>
      </c>
      <c r="G23" t="inlineStr">
        <is>
          <t>Yes</t>
        </is>
      </c>
      <c r="H23" s="9" t="n">
        <v>0</v>
      </c>
      <c r="I23" s="9" t="n">
        <v>10711846.86</v>
      </c>
      <c r="J23" s="9" t="n">
        <v>123186.24</v>
      </c>
      <c r="K23" s="9" t="n">
        <v>-5817956.86</v>
      </c>
      <c r="L23" s="9" t="n">
        <v>4893890</v>
      </c>
      <c r="M23" s="20" t="n">
        <v>-2171981.22</v>
      </c>
      <c r="N23" s="9" t="n">
        <v>4560066.89</v>
      </c>
    </row>
    <row r="24">
      <c r="A24" t="n">
        <v>19</v>
      </c>
      <c r="B24" t="inlineStr"/>
      <c r="C24" s="9" t="n">
        <v>10926083.79</v>
      </c>
      <c r="D24" s="9" t="n">
        <v>422043.65</v>
      </c>
      <c r="E24" s="9" t="n">
        <v>7572450.48</v>
      </c>
      <c r="F24" s="9" t="n">
        <v>7572450.48</v>
      </c>
      <c r="G24" t="inlineStr">
        <is>
          <t>Yes</t>
        </is>
      </c>
      <c r="H24" s="9" t="n">
        <v>0</v>
      </c>
      <c r="I24" s="9" t="n">
        <v>10926083.79</v>
      </c>
      <c r="J24" s="9" t="n">
        <v>125649.96</v>
      </c>
      <c r="K24" s="9" t="n">
        <v>-5723594.45</v>
      </c>
      <c r="L24" s="9" t="n">
        <v>5202489.34</v>
      </c>
      <c r="M24" s="20" t="n">
        <v>-2369961.140000001</v>
      </c>
      <c r="N24" s="9" t="n">
        <v>4263673.2</v>
      </c>
    </row>
    <row r="25">
      <c r="A25" t="n">
        <v>20</v>
      </c>
      <c r="B25" t="inlineStr"/>
      <c r="C25" s="9" t="n">
        <v>11144605.47</v>
      </c>
      <c r="D25" s="9" t="n">
        <v>432594.74</v>
      </c>
      <c r="E25" s="9" t="n">
        <v>8096340.52</v>
      </c>
      <c r="F25" s="9" t="n">
        <v>8096340.52</v>
      </c>
      <c r="G25" t="inlineStr">
        <is>
          <t>Yes</t>
        </is>
      </c>
      <c r="H25" s="9" t="n">
        <v>0</v>
      </c>
      <c r="I25" s="9" t="n">
        <v>11144605.47</v>
      </c>
      <c r="J25" s="9" t="n">
        <v>128162.96</v>
      </c>
      <c r="K25" s="9" t="n">
        <v>-5626555.11</v>
      </c>
      <c r="L25" s="9" t="n">
        <v>5518050.36</v>
      </c>
      <c r="M25" s="20" t="n">
        <v>-2578290.159999999</v>
      </c>
      <c r="N25" s="9" t="n">
        <v>3959241.42</v>
      </c>
    </row>
    <row r="26">
      <c r="A26" t="n">
        <v>21</v>
      </c>
      <c r="B26" t="inlineStr"/>
      <c r="C26" s="9" t="n">
        <v>11367497.58</v>
      </c>
      <c r="D26" s="9" t="n">
        <v>443409.61</v>
      </c>
      <c r="E26" s="9" t="n">
        <v>8638229.640000001</v>
      </c>
      <c r="F26" s="9" t="n">
        <v>8638229.640000001</v>
      </c>
      <c r="G26" t="inlineStr">
        <is>
          <t>Yes</t>
        </is>
      </c>
      <c r="H26" s="9" t="n">
        <v>0</v>
      </c>
      <c r="I26" s="9" t="n">
        <v>11367497.58</v>
      </c>
      <c r="J26" s="9" t="n">
        <v>130726.22</v>
      </c>
      <c r="K26" s="9" t="n">
        <v>-5526741.86</v>
      </c>
      <c r="L26" s="9" t="n">
        <v>5840755.72</v>
      </c>
      <c r="M26" s="20" t="n">
        <v>-2797473.920000001</v>
      </c>
      <c r="N26" s="9" t="n">
        <v>3646558.03</v>
      </c>
    </row>
    <row r="27">
      <c r="A27" t="n">
        <v>22</v>
      </c>
      <c r="B27" t="inlineStr"/>
      <c r="C27" s="9" t="n">
        <v>11594847.53</v>
      </c>
      <c r="D27" s="9" t="n">
        <v>454494.85</v>
      </c>
      <c r="E27" s="9" t="n">
        <v>9198837.42</v>
      </c>
      <c r="F27" s="9" t="n">
        <v>9198837.42</v>
      </c>
      <c r="G27" t="inlineStr">
        <is>
          <t>Yes</t>
        </is>
      </c>
      <c r="H27" s="9" t="n">
        <v>0</v>
      </c>
      <c r="I27" s="9" t="n">
        <v>11594847.53</v>
      </c>
      <c r="J27" s="9" t="n">
        <v>133340.75</v>
      </c>
      <c r="K27" s="9" t="n">
        <v>-5424053.41</v>
      </c>
      <c r="L27" s="9" t="n">
        <v>6170794.12</v>
      </c>
      <c r="M27" s="20" t="n">
        <v>-3028043.3</v>
      </c>
      <c r="N27" s="9" t="n">
        <v>3325403.93</v>
      </c>
    </row>
    <row r="28">
      <c r="A28" t="n">
        <v>23</v>
      </c>
      <c r="B28" t="inlineStr"/>
      <c r="C28" s="9" t="n">
        <v>11826744.48</v>
      </c>
      <c r="D28" s="9" t="n">
        <v>465857.22</v>
      </c>
      <c r="E28" s="9" t="n">
        <v>9778916.26</v>
      </c>
      <c r="F28" s="9" t="n">
        <v>9778916.26</v>
      </c>
      <c r="G28" t="inlineStr">
        <is>
          <t>Yes</t>
        </is>
      </c>
      <c r="H28" s="9" t="n">
        <v>0</v>
      </c>
      <c r="I28" s="9" t="n">
        <v>11826744.48</v>
      </c>
      <c r="J28" s="9" t="n">
        <v>136007.56</v>
      </c>
      <c r="K28" s="9" t="n">
        <v>-5318383.91</v>
      </c>
      <c r="L28" s="9" t="n">
        <v>6508360.57</v>
      </c>
      <c r="M28" s="20" t="n">
        <v>-3270555.689999999</v>
      </c>
      <c r="N28" s="9" t="n">
        <v>2995554.27</v>
      </c>
    </row>
    <row r="29">
      <c r="A29" t="n">
        <v>24</v>
      </c>
      <c r="B29" t="inlineStr"/>
      <c r="C29" s="9" t="n">
        <v>12063279.37</v>
      </c>
      <c r="D29" s="9" t="n">
        <v>477503.65</v>
      </c>
      <c r="E29" s="9" t="n">
        <v>10379253</v>
      </c>
      <c r="F29" s="9" t="n">
        <v>10379253</v>
      </c>
      <c r="G29" t="inlineStr">
        <is>
          <t>Yes</t>
        </is>
      </c>
      <c r="H29" s="9" t="n">
        <v>0</v>
      </c>
      <c r="I29" s="9" t="n">
        <v>12063279.37</v>
      </c>
      <c r="J29" s="9" t="n">
        <v>138727.71</v>
      </c>
      <c r="K29" s="9" t="n">
        <v>-5209622.74</v>
      </c>
      <c r="L29" s="9" t="n">
        <v>6853656.63</v>
      </c>
      <c r="M29" s="20" t="n">
        <v>-3525596.37</v>
      </c>
      <c r="N29" s="9" t="n">
        <v>2656778.33</v>
      </c>
    </row>
    <row r="30">
      <c r="A30" t="n">
        <v>25</v>
      </c>
      <c r="B30" t="inlineStr"/>
      <c r="C30" s="9" t="n">
        <v>12304544.96</v>
      </c>
      <c r="D30" s="9" t="n">
        <v>489441.24</v>
      </c>
      <c r="E30" s="9" t="n">
        <v>11000670.68</v>
      </c>
      <c r="F30" s="9" t="n">
        <v>11000670.68</v>
      </c>
      <c r="G30" t="inlineStr">
        <is>
          <t>Yes</t>
        </is>
      </c>
      <c r="H30" s="9" t="n">
        <v>0</v>
      </c>
      <c r="I30" s="9" t="n">
        <v>12304544.96</v>
      </c>
      <c r="J30" s="9" t="n">
        <v>141502.27</v>
      </c>
      <c r="K30" s="9" t="n">
        <v>-5097654.26</v>
      </c>
      <c r="L30" s="9" t="n">
        <v>7206890.7</v>
      </c>
      <c r="M30" s="20" t="n">
        <v>-3793779.98</v>
      </c>
      <c r="N30" s="9" t="n">
        <v>2308839.36</v>
      </c>
    </row>
    <row r="31">
      <c r="A31" t="n">
        <v>26</v>
      </c>
      <c r="B31" t="inlineStr"/>
      <c r="C31" s="9" t="n">
        <v>12550635.86</v>
      </c>
      <c r="D31" s="9" t="n">
        <v>501677.27</v>
      </c>
      <c r="E31" s="9" t="n">
        <v>11644030.29</v>
      </c>
      <c r="F31" s="9" t="n">
        <v>11644030.29</v>
      </c>
      <c r="G31" t="inlineStr">
        <is>
          <t>Yes</t>
        </is>
      </c>
      <c r="H31" s="9" t="n">
        <v>0</v>
      </c>
      <c r="I31" s="9" t="n">
        <v>12550635.86</v>
      </c>
      <c r="J31" s="9" t="n">
        <v>144332.31</v>
      </c>
      <c r="K31" s="9" t="n">
        <v>-4982357.55</v>
      </c>
      <c r="L31" s="9" t="n">
        <v>7568278.31</v>
      </c>
      <c r="M31" s="20" t="n">
        <v>-4075751.98</v>
      </c>
      <c r="N31" s="9" t="n">
        <v>1951494.4</v>
      </c>
    </row>
    <row r="32">
      <c r="A32" t="n">
        <v>27</v>
      </c>
      <c r="B32" t="inlineStr"/>
      <c r="C32" s="9" t="n">
        <v>12801648.57</v>
      </c>
      <c r="D32" s="9" t="n">
        <v>514219.2</v>
      </c>
      <c r="E32" s="9" t="n">
        <v>12310232.75</v>
      </c>
      <c r="F32" s="9" t="n">
        <v>12310232.75</v>
      </c>
      <c r="G32" t="inlineStr">
        <is>
          <t>Yes</t>
        </is>
      </c>
      <c r="H32" s="9" t="n">
        <v>0</v>
      </c>
      <c r="I32" s="9" t="n">
        <v>12801648.57</v>
      </c>
      <c r="J32" s="9" t="n">
        <v>147218.96</v>
      </c>
      <c r="K32" s="9" t="n">
        <v>-4863606.18</v>
      </c>
      <c r="L32" s="9" t="n">
        <v>7938042.4</v>
      </c>
      <c r="M32" s="20" t="n">
        <v>-4372190.35</v>
      </c>
      <c r="N32" s="9" t="n">
        <v>1584494.16</v>
      </c>
    </row>
    <row r="33">
      <c r="A33" t="n">
        <v>28</v>
      </c>
      <c r="B33" t="inlineStr"/>
      <c r="C33" s="9" t="n">
        <v>13057681.55</v>
      </c>
      <c r="D33" s="9" t="n">
        <v>527074.6800000001</v>
      </c>
      <c r="E33" s="9" t="n">
        <v>13000220.87</v>
      </c>
      <c r="F33" s="9" t="n">
        <v>13000220.87</v>
      </c>
      <c r="G33" t="inlineStr">
        <is>
          <t>Yes</t>
        </is>
      </c>
      <c r="H33" s="9" t="n">
        <v>0</v>
      </c>
      <c r="I33" s="9" t="n">
        <v>13057681.55</v>
      </c>
      <c r="J33" s="9" t="n">
        <v>150163.34</v>
      </c>
      <c r="K33" s="9" t="n">
        <v>-4741267.85</v>
      </c>
      <c r="L33" s="9" t="n">
        <v>8316413.69</v>
      </c>
      <c r="M33" s="20" t="n">
        <v>-4683807.179999999</v>
      </c>
      <c r="N33" s="9" t="n">
        <v>1207582.82</v>
      </c>
    </row>
    <row r="34">
      <c r="A34" t="n">
        <v>29</v>
      </c>
      <c r="B34" t="inlineStr"/>
      <c r="C34" s="9" t="n">
        <v>13318835.18</v>
      </c>
      <c r="D34" s="9" t="n">
        <v>540251.55</v>
      </c>
      <c r="E34" s="9" t="n">
        <v>13714981.46</v>
      </c>
      <c r="F34" s="9" t="n">
        <v>13714981.46</v>
      </c>
      <c r="G34" t="inlineStr">
        <is>
          <t>Yes</t>
        </is>
      </c>
      <c r="H34" s="9" t="n">
        <v>0</v>
      </c>
      <c r="I34" s="9" t="n">
        <v>13318835.18</v>
      </c>
      <c r="J34" s="9" t="n">
        <v>153166.6</v>
      </c>
      <c r="K34" s="9" t="n">
        <v>-4615204.19</v>
      </c>
      <c r="L34" s="9" t="n">
        <v>8703630.99</v>
      </c>
      <c r="M34" s="20" t="n">
        <v>-5011350.470000001</v>
      </c>
      <c r="N34" s="9" t="n">
        <v>820497.87</v>
      </c>
    </row>
    <row r="35">
      <c r="A35" t="n">
        <v>30</v>
      </c>
      <c r="B35" t="inlineStr"/>
      <c r="C35" s="9" t="n">
        <v>13585211.88</v>
      </c>
      <c r="D35" s="9" t="n">
        <v>553757.84</v>
      </c>
      <c r="E35" s="9" t="n">
        <v>14455547.6</v>
      </c>
      <c r="F35" s="9" t="n">
        <v>14455547.6</v>
      </c>
      <c r="G35" t="inlineStr">
        <is>
          <t>Yes</t>
        </is>
      </c>
      <c r="H35" s="9" t="n">
        <v>0</v>
      </c>
      <c r="I35" s="9" t="n">
        <v>13585211.88</v>
      </c>
      <c r="J35" s="9" t="n">
        <v>156229.94</v>
      </c>
      <c r="K35" s="9" t="n">
        <v>-4485270.36</v>
      </c>
      <c r="L35" s="9" t="n">
        <v>9099941.52</v>
      </c>
      <c r="M35" s="20" t="n">
        <v>-5355606.08</v>
      </c>
      <c r="N35" s="9" t="n">
        <v>422969.97</v>
      </c>
    </row>
    <row r="36">
      <c r="A36" t="n">
        <v>31</v>
      </c>
      <c r="B36" t="inlineStr"/>
      <c r="C36" s="9" t="n">
        <v>13856916.12</v>
      </c>
      <c r="D36" s="9" t="n">
        <v>567601.79</v>
      </c>
      <c r="E36" s="9" t="n">
        <v>15223000.93</v>
      </c>
      <c r="F36" s="9" t="n">
        <v>15223000.93</v>
      </c>
      <c r="G36" t="inlineStr">
        <is>
          <t>Yes</t>
        </is>
      </c>
      <c r="H36" s="9" t="n">
        <v>0</v>
      </c>
      <c r="I36" s="9" t="n">
        <v>13856916.12</v>
      </c>
      <c r="J36" s="9" t="n">
        <v>159354.54</v>
      </c>
      <c r="K36" s="9" t="n">
        <v>-4351314.76</v>
      </c>
      <c r="L36" s="9" t="n">
        <v>9505601.359999999</v>
      </c>
      <c r="M36" s="20" t="n">
        <v>-5717399.57</v>
      </c>
      <c r="N36" s="9" t="n">
        <v>14722.72</v>
      </c>
    </row>
    <row r="37">
      <c r="A37" t="n">
        <v>32</v>
      </c>
      <c r="B37" t="inlineStr"/>
      <c r="C37" s="9" t="n">
        <v>14134054.44</v>
      </c>
      <c r="D37" s="9" t="n">
        <v>581791.83</v>
      </c>
      <c r="E37" s="9" t="n">
        <v>16018474.15</v>
      </c>
      <c r="F37" s="9" t="n">
        <v>16018474.15</v>
      </c>
      <c r="G37" t="inlineStr">
        <is>
          <t>Yes</t>
        </is>
      </c>
      <c r="H37" s="9" t="n">
        <v>0</v>
      </c>
      <c r="I37" s="9" t="n">
        <v>14134054.44</v>
      </c>
      <c r="J37" s="9" t="n">
        <v>162541.63</v>
      </c>
      <c r="K37" s="9" t="n">
        <v>-4213178.7</v>
      </c>
      <c r="L37" s="9" t="n">
        <v>9920875.74</v>
      </c>
      <c r="M37" s="20" t="n">
        <v>-6097598.41</v>
      </c>
      <c r="N37" s="9" t="n">
        <v>-404527.48</v>
      </c>
    </row>
    <row r="38">
      <c r="A38" t="n">
        <v>33</v>
      </c>
      <c r="B38" t="inlineStr"/>
      <c r="C38" s="9" t="n">
        <v>14416735.53</v>
      </c>
      <c r="D38" s="9" t="n">
        <v>596336.63</v>
      </c>
      <c r="E38" s="9" t="n">
        <v>16843153.6</v>
      </c>
      <c r="F38" s="9" t="n">
        <v>16843153.6</v>
      </c>
      <c r="G38" t="inlineStr">
        <is>
          <t>Yes</t>
        </is>
      </c>
      <c r="H38" s="9" t="n">
        <v>0</v>
      </c>
      <c r="I38" s="9" t="n">
        <v>14416735.53</v>
      </c>
      <c r="J38" s="9" t="n">
        <v>165792.46</v>
      </c>
      <c r="K38" s="9" t="n">
        <v>-4070695.99</v>
      </c>
      <c r="L38" s="9" t="n">
        <v>10346039.54</v>
      </c>
      <c r="M38" s="20" t="n">
        <v>-6497114.060000002</v>
      </c>
      <c r="N38" s="9" t="n">
        <v>-835071.65</v>
      </c>
    </row>
    <row r="39">
      <c r="A39" t="n">
        <v>34</v>
      </c>
      <c r="B39" t="inlineStr"/>
      <c r="C39" s="9" t="n">
        <v>14705070.24</v>
      </c>
      <c r="D39" s="9" t="n">
        <v>611245.04</v>
      </c>
      <c r="E39" s="9" t="n">
        <v>17698282.01</v>
      </c>
      <c r="F39" s="9" t="n">
        <v>17698282.01</v>
      </c>
      <c r="G39" t="inlineStr">
        <is>
          <t>Yes</t>
        </is>
      </c>
      <c r="H39" s="9" t="n">
        <v>0</v>
      </c>
      <c r="I39" s="9" t="n">
        <v>14705070.24</v>
      </c>
      <c r="J39" s="9" t="n">
        <v>169108.31</v>
      </c>
      <c r="K39" s="9" t="n">
        <v>-3923692.57</v>
      </c>
      <c r="L39" s="9" t="n">
        <v>10781377.67</v>
      </c>
      <c r="M39" s="20" t="n">
        <v>-6916904.340000002</v>
      </c>
      <c r="N39" s="9" t="n">
        <v>-1277208.38</v>
      </c>
    </row>
    <row r="40">
      <c r="A40" t="n">
        <v>35</v>
      </c>
      <c r="B40" t="inlineStr"/>
      <c r="C40" s="9" t="n">
        <v>14999171.64</v>
      </c>
      <c r="D40" s="9" t="n">
        <v>626526.17</v>
      </c>
      <c r="E40" s="9" t="n">
        <v>18585161.35</v>
      </c>
      <c r="F40" s="9" t="n">
        <v>18585161.35</v>
      </c>
      <c r="G40" t="inlineStr">
        <is>
          <t>Yes</t>
        </is>
      </c>
      <c r="H40" s="9" t="n">
        <v>0</v>
      </c>
      <c r="I40" s="9" t="n">
        <v>14999171.64</v>
      </c>
      <c r="J40" s="9" t="n">
        <v>172490.47</v>
      </c>
      <c r="K40" s="9" t="n">
        <v>-3771986.14</v>
      </c>
      <c r="L40" s="9" t="n">
        <v>11227185.51</v>
      </c>
      <c r="M40" s="20" t="n">
        <v>-7357975.840000002</v>
      </c>
      <c r="N40" s="9" t="n">
        <v>-1731244.08</v>
      </c>
    </row>
    <row r="41">
      <c r="A41" t="n">
        <v>36</v>
      </c>
      <c r="B41" t="inlineStr"/>
      <c r="C41" s="9" t="n">
        <v>15299155.08</v>
      </c>
      <c r="D41" s="9" t="n">
        <v>642189.3199999999</v>
      </c>
      <c r="E41" s="9" t="n">
        <v>19505155.9</v>
      </c>
      <c r="F41" s="9" t="n">
        <v>19505155.9</v>
      </c>
      <c r="G41" t="inlineStr">
        <is>
          <t>Yes</t>
        </is>
      </c>
      <c r="H41" s="9" t="n">
        <v>0</v>
      </c>
      <c r="I41" s="9" t="n">
        <v>15299155.08</v>
      </c>
      <c r="J41" s="9" t="n">
        <v>175940.28</v>
      </c>
      <c r="K41" s="9" t="n">
        <v>-3615385.66</v>
      </c>
      <c r="L41" s="9" t="n">
        <v>11683769.42</v>
      </c>
      <c r="M41" s="20" t="n">
        <v>-7821386.479999999</v>
      </c>
      <c r="N41" s="9" t="n">
        <v>-2197493.12</v>
      </c>
    </row>
    <row r="42">
      <c r="A42" t="n">
        <v>37</v>
      </c>
      <c r="B42" t="inlineStr"/>
      <c r="C42" s="9" t="n">
        <v>15605138.18</v>
      </c>
      <c r="D42" s="9" t="n">
        <v>658244.0600000001</v>
      </c>
      <c r="E42" s="9" t="n">
        <v>20459695.42</v>
      </c>
      <c r="F42" s="9" t="n">
        <v>20459695.42</v>
      </c>
      <c r="G42" t="inlineStr">
        <is>
          <t>Yes</t>
        </is>
      </c>
      <c r="H42" s="9" t="n">
        <v>0</v>
      </c>
      <c r="I42" s="9" t="n">
        <v>15605138.18</v>
      </c>
      <c r="J42" s="9" t="n">
        <v>179459.09</v>
      </c>
      <c r="K42" s="9" t="n">
        <v>-3453690.96</v>
      </c>
      <c r="L42" s="9" t="n">
        <v>12151447.22</v>
      </c>
      <c r="M42" s="20" t="n">
        <v>-8308248.200000001</v>
      </c>
      <c r="N42" s="9" t="n">
        <v>-2676278.09</v>
      </c>
    </row>
    <row r="43">
      <c r="A43" t="n">
        <v>38</v>
      </c>
      <c r="B43" t="inlineStr"/>
      <c r="C43" s="9" t="n">
        <v>15917240.94</v>
      </c>
      <c r="D43" s="9" t="n">
        <v>674700.16</v>
      </c>
      <c r="E43" s="9" t="n">
        <v>21450278.51</v>
      </c>
      <c r="F43" s="9" t="n">
        <v>21450278.51</v>
      </c>
      <c r="G43" t="inlineStr">
        <is>
          <t>Yes</t>
        </is>
      </c>
      <c r="H43" s="9" t="n">
        <v>0</v>
      </c>
      <c r="I43" s="9" t="n">
        <v>15917240.94</v>
      </c>
      <c r="J43" s="9" t="n">
        <v>183048.27</v>
      </c>
      <c r="K43" s="9" t="n">
        <v>-3286692.23</v>
      </c>
      <c r="L43" s="9" t="n">
        <v>12630548.71</v>
      </c>
      <c r="M43" s="20" t="n">
        <v>-8819729.800000001</v>
      </c>
      <c r="N43" s="9" t="n">
        <v>-3167929.98</v>
      </c>
    </row>
    <row r="44">
      <c r="A44" t="n">
        <v>39</v>
      </c>
      <c r="B44" t="inlineStr"/>
      <c r="C44" s="9" t="n">
        <v>16235585.76</v>
      </c>
      <c r="D44" s="9" t="n">
        <v>691567.66</v>
      </c>
      <c r="E44" s="9" t="n">
        <v>22478476.17</v>
      </c>
      <c r="F44" s="9" t="n">
        <v>22478476.17</v>
      </c>
      <c r="G44" t="inlineStr">
        <is>
          <t>Yes</t>
        </is>
      </c>
      <c r="H44" s="9" t="n">
        <v>0</v>
      </c>
      <c r="I44" s="9" t="n">
        <v>16235585.76</v>
      </c>
      <c r="J44" s="9" t="n">
        <v>186709.24</v>
      </c>
      <c r="K44" s="9" t="n">
        <v>-3114169.54</v>
      </c>
      <c r="L44" s="9" t="n">
        <v>13121416.22</v>
      </c>
      <c r="M44" s="20" t="n">
        <v>-9357059.950000001</v>
      </c>
      <c r="N44" s="9" t="n">
        <v>-3672788.4</v>
      </c>
    </row>
    <row r="45">
      <c r="A45" t="n">
        <v>40</v>
      </c>
      <c r="B45" t="inlineStr"/>
      <c r="C45" s="9" t="n">
        <v>16560297.48</v>
      </c>
      <c r="D45" s="9" t="n">
        <v>708856.85</v>
      </c>
      <c r="E45" s="9" t="n">
        <v>23545935.5</v>
      </c>
      <c r="F45" s="9" t="n">
        <v>23545935.5</v>
      </c>
      <c r="G45" t="inlineStr">
        <is>
          <t>Yes</t>
        </is>
      </c>
      <c r="H45" s="9" t="n">
        <v>0</v>
      </c>
      <c r="I45" s="9" t="n">
        <v>16560297.48</v>
      </c>
      <c r="J45" s="9" t="n">
        <v>190443.42</v>
      </c>
      <c r="K45" s="9" t="n">
        <v>-2935892.29</v>
      </c>
      <c r="L45" s="9" t="n">
        <v>13624405.19</v>
      </c>
      <c r="M45" s="20" t="n">
        <v>-9921530.310000001</v>
      </c>
      <c r="N45" s="9" t="n">
        <v>-4191201.83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6" customWidth="1" min="4" max="4"/>
    <col width="22" customWidth="1" min="5" max="5"/>
  </cols>
  <sheetData>
    <row r="1">
      <c r="A1" s="1" t="inlineStr">
        <is>
          <t>Hong Kong Ad Valorem Stamp Duty (residential Scale 2)</t>
        </is>
      </c>
    </row>
    <row r="2" ht="40" customHeight="1">
      <c r="A2" s="4" t="inlineStr">
        <is>
          <t>HKPR acquiring a sole residential property. Bands follow IRD Scale 2 / Part 1 Scale 1 (incl. Feb 2025 nominal band and Feb 2026 ultra-high-value tier). Not tax advice — confirm on ird.gov.hk.</t>
        </is>
      </c>
    </row>
    <row r="3">
      <c r="A3" t="inlineStr">
        <is>
          <t>Stamp duty on Assumptions property price</t>
        </is>
      </c>
      <c r="B3" s="25" t="n">
        <v>225000</v>
      </c>
    </row>
    <row r="5">
      <c r="A5" s="14" t="inlineStr">
        <is>
          <t>From (HKD)</t>
        </is>
      </c>
      <c r="B5" s="14" t="inlineStr">
        <is>
          <t>To (HKD)</t>
        </is>
      </c>
      <c r="C5" s="14" t="inlineStr">
        <is>
          <t>Rate / formula</t>
        </is>
      </c>
      <c r="D5" s="14" t="inlineStr">
        <is>
          <t>Example duty</t>
        </is>
      </c>
      <c r="E5" s="14" t="inlineStr">
        <is>
          <t>Notes</t>
        </is>
      </c>
    </row>
    <row r="6">
      <c r="A6" s="26" t="n">
        <v>0</v>
      </c>
      <c r="B6" s="26" t="n">
        <v>4000000</v>
      </c>
      <c r="C6" t="inlineStr">
        <is>
          <t>HK$100 flat</t>
        </is>
      </c>
      <c r="D6" s="9" t="n">
        <v>100</v>
      </c>
      <c r="E6" s="4" t="inlineStr">
        <is>
          <t>Nominal band</t>
        </is>
      </c>
    </row>
    <row r="7">
      <c r="A7" s="26" t="n">
        <v>4000001</v>
      </c>
      <c r="B7" s="26" t="n">
        <v>4323780</v>
      </c>
      <c r="C7" t="inlineStr">
        <is>
          <t>$100 + 20% of excess over $4m</t>
        </is>
      </c>
      <c r="D7" s="9" t="n">
        <v>40100</v>
      </c>
      <c r="E7" s="4" t="inlineStr">
        <is>
          <t>Marginal relief</t>
        </is>
      </c>
    </row>
    <row r="8">
      <c r="A8" s="26" t="n">
        <v>4323781</v>
      </c>
      <c r="B8" s="26" t="n">
        <v>4500000</v>
      </c>
      <c r="C8" t="inlineStr">
        <is>
          <t>1.50%</t>
        </is>
      </c>
      <c r="D8" s="9" t="n">
        <v>66000</v>
      </c>
      <c r="E8" s="4" t="inlineStr"/>
    </row>
    <row r="9">
      <c r="A9" s="26" t="n">
        <v>4500001</v>
      </c>
      <c r="B9" s="26" t="n">
        <v>4935480</v>
      </c>
      <c r="C9" t="inlineStr">
        <is>
          <t>$67,500 + 10% excess over $4.5m</t>
        </is>
      </c>
      <c r="D9" s="9" t="n">
        <v>87500</v>
      </c>
      <c r="E9" s="4" t="inlineStr">
        <is>
          <t>Marginal relief</t>
        </is>
      </c>
    </row>
    <row r="10">
      <c r="A10" s="26" t="n">
        <v>4935481</v>
      </c>
      <c r="B10" s="26" t="n">
        <v>6000000</v>
      </c>
      <c r="C10" t="inlineStr">
        <is>
          <t>2.25%</t>
        </is>
      </c>
      <c r="D10" s="9" t="n">
        <v>123750</v>
      </c>
      <c r="E10" s="4" t="inlineStr"/>
    </row>
    <row r="11">
      <c r="A11" s="26" t="n">
        <v>6000001</v>
      </c>
      <c r="B11" s="26" t="n">
        <v>6642860</v>
      </c>
      <c r="C11" t="inlineStr">
        <is>
          <t>$135,000 + 10% excess over $6m</t>
        </is>
      </c>
      <c r="D11" s="9" t="n">
        <v>165000</v>
      </c>
      <c r="E11" s="4" t="inlineStr">
        <is>
          <t>Marginal relief</t>
        </is>
      </c>
    </row>
    <row r="12">
      <c r="A12" s="26" t="n">
        <v>6642861</v>
      </c>
      <c r="B12" s="26" t="n">
        <v>9000000</v>
      </c>
      <c r="C12" t="inlineStr">
        <is>
          <t>3.00%</t>
        </is>
      </c>
      <c r="D12" s="9" t="n">
        <v>240000</v>
      </c>
      <c r="E12" s="4" t="inlineStr"/>
    </row>
    <row r="13">
      <c r="A13" s="26" t="n">
        <v>9000001</v>
      </c>
      <c r="B13" s="26" t="n">
        <v>10080000</v>
      </c>
      <c r="C13" t="inlineStr">
        <is>
          <t>$270,000 + 10% excess over $9m</t>
        </is>
      </c>
      <c r="D13" s="9" t="n">
        <v>320000</v>
      </c>
      <c r="E13" s="4" t="inlineStr">
        <is>
          <t>Marginal relief</t>
        </is>
      </c>
    </row>
    <row r="14">
      <c r="A14" s="26" t="n">
        <v>10080001</v>
      </c>
      <c r="B14" s="26" t="n">
        <v>20000000</v>
      </c>
      <c r="C14" t="inlineStr">
        <is>
          <t>3.75%</t>
        </is>
      </c>
      <c r="D14" s="9" t="n">
        <v>562500</v>
      </c>
      <c r="E14" s="4" t="inlineStr"/>
    </row>
    <row r="15">
      <c r="A15" s="26" t="n">
        <v>20000001</v>
      </c>
      <c r="B15" s="26" t="n">
        <v>21739120</v>
      </c>
      <c r="C15" t="inlineStr">
        <is>
          <t>$750,000 + 10% excess over $20m</t>
        </is>
      </c>
      <c r="D15" s="9" t="n">
        <v>850000</v>
      </c>
      <c r="E15" s="4" t="inlineStr">
        <is>
          <t>Marginal relief</t>
        </is>
      </c>
    </row>
    <row r="16">
      <c r="A16" s="26" t="n">
        <v>21739121</v>
      </c>
      <c r="B16" s="26" t="n">
        <v>100000000</v>
      </c>
      <c r="C16" t="inlineStr">
        <is>
          <t>4.25%</t>
        </is>
      </c>
      <c r="D16" s="9" t="n">
        <v>2125000</v>
      </c>
      <c r="E16" s="4" t="inlineStr"/>
    </row>
    <row r="17">
      <c r="A17" s="26" t="n">
        <v>100000001</v>
      </c>
      <c r="B17" s="26" t="n">
        <v>109574470</v>
      </c>
      <c r="C17" t="inlineStr">
        <is>
          <t>$4.25m + 30% excess over $100m</t>
        </is>
      </c>
      <c r="D17" s="9" t="n">
        <v>5750000</v>
      </c>
      <c r="E17" s="4" t="inlineStr">
        <is>
          <t>2026 Budget tier</t>
        </is>
      </c>
    </row>
    <row r="18">
      <c r="A18" s="26" t="n">
        <v>109574471</v>
      </c>
      <c r="B18" t="inlineStr">
        <is>
          <t>and above</t>
        </is>
      </c>
      <c r="C18" t="inlineStr">
        <is>
          <t>6.50%</t>
        </is>
      </c>
      <c r="D18" s="9" t="n">
        <v>7800000</v>
      </c>
      <c r="E18" s="4" t="inlineStr">
        <is>
          <t>Ultra-high value</t>
        </is>
      </c>
    </row>
    <row r="20">
      <c r="A20" s="3" t="inlineStr">
        <is>
          <t>Policy note</t>
        </is>
      </c>
    </row>
    <row r="21" ht="45" customHeight="1">
      <c r="A21" s="4" t="inlineStr">
        <is>
          <t>SSD / BSD / old higher NRSD were relaxed or abolished for most ordinary HKPR sole-property purchases. This model charges AVD only. Non-HKPR or corporate buyers may differ — adjust manually.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Sensitivity — does the answer flip?</t>
        </is>
      </c>
    </row>
    <row r="2">
      <c r="A2" s="4" t="inlineStr">
        <is>
          <t>Selected buy year under alternate property growth and investment returns. If the verdict flips often, size the lifestyle value of owning carefully.</t>
        </is>
      </c>
    </row>
    <row r="4">
      <c r="A4" s="3" t="inlineStr">
        <is>
          <t>Advantage of Buy@8 vs Rent at year 40 (HKD)</t>
        </is>
      </c>
    </row>
    <row r="6">
      <c r="A6" s="14" t="inlineStr">
        <is>
          <t>Invest return ↓ \ Prop growth →</t>
        </is>
      </c>
      <c r="B6" s="14" t="inlineStr">
        <is>
          <t>Bear 0%</t>
        </is>
      </c>
      <c r="C6" s="14" t="inlineStr">
        <is>
          <t>Base</t>
        </is>
      </c>
      <c r="D6" s="14" t="inlineStr">
        <is>
          <t>Bull 4%</t>
        </is>
      </c>
    </row>
    <row r="7">
      <c r="A7" t="inlineStr">
        <is>
          <t>Low 3%</t>
        </is>
      </c>
      <c r="B7" s="24" t="n">
        <v>5781289</v>
      </c>
      <c r="C7" s="24" t="n">
        <v>0</v>
      </c>
      <c r="D7" s="24" t="n">
        <v>0</v>
      </c>
    </row>
    <row r="8">
      <c r="A8" t="inlineStr">
        <is>
          <t>Base</t>
        </is>
      </c>
      <c r="B8" s="20" t="n">
        <v>-8874602</v>
      </c>
      <c r="C8" s="20" t="n">
        <v>-9921530</v>
      </c>
      <c r="D8" s="24" t="n">
        <v>0</v>
      </c>
    </row>
    <row r="9">
      <c r="A9" t="inlineStr">
        <is>
          <t>High 7%</t>
        </is>
      </c>
      <c r="B9" s="20" t="n">
        <v>-26122045</v>
      </c>
      <c r="C9" s="20" t="n">
        <v>-32170177</v>
      </c>
      <c r="D9" s="24" t="n">
        <v>0</v>
      </c>
    </row>
    <row r="12">
      <c r="A12" s="3" t="inlineStr">
        <is>
          <t>Earliest affordable buy year (base case)</t>
        </is>
      </c>
    </row>
    <row r="13">
      <c r="A13" t="inlineStr">
        <is>
          <t>Earliest affordable year</t>
        </is>
      </c>
      <c r="B13" s="22" t="n">
        <v>8</v>
      </c>
    </row>
    <row r="15">
      <c r="A15" s="3" t="inlineStr">
        <is>
          <t>Rent growth stress (base property &amp; returns)</t>
        </is>
      </c>
    </row>
    <row r="16">
      <c r="A16" s="14" t="inlineStr">
        <is>
          <t>Rent growth</t>
        </is>
      </c>
      <c r="B16" s="14" t="inlineStr">
        <is>
          <t>Adv of selected buy @ horizon</t>
        </is>
      </c>
    </row>
    <row r="17">
      <c r="A17" t="inlineStr">
        <is>
          <t>0%</t>
        </is>
      </c>
      <c r="B17" s="20" t="n">
        <v>-25159622</v>
      </c>
    </row>
    <row r="18">
      <c r="A18" t="inlineStr">
        <is>
          <t>2.5% base</t>
        </is>
      </c>
      <c r="B18" s="20" t="n">
        <v>-9921530</v>
      </c>
    </row>
    <row r="19">
      <c r="A19" t="inlineStr">
        <is>
          <t>4%</t>
        </is>
      </c>
      <c r="B19" s="24" t="n">
        <v>0</v>
      </c>
    </row>
    <row r="20">
      <c r="A20" t="inlineStr">
        <is>
          <t>5%</t>
        </is>
      </c>
      <c r="B20" s="24" t="n">
        <v>0</v>
      </c>
    </row>
    <row r="23">
      <c r="A23" s="3" t="inlineStr">
        <is>
          <t>How to use</t>
        </is>
      </c>
    </row>
    <row r="24" ht="55" customHeight="1">
      <c r="A24" s="5" t="inlineStr">
        <is>
          <t>Green = buying wins on wealth; Red = renting+investing wins. HK can see long flat/negative real price stretches — if Bear 0% is red, do not buy purely as an investment. If even Bull is red, liquid investing sets a high bar.</t>
        </is>
      </c>
    </row>
  </sheetData>
  <mergeCells count="3">
    <mergeCell ref="A2:G2"/>
    <mergeCell ref="A1:G1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2026-08-11T06:53:10Z</dcterms:created>
  <dcterms:modified xsi:type="dcterms:W3CDTF">2026-08-11T06:53:10Z</dcterms:modified>
</cp:coreProperties>
</file>